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63a93b118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uración" sheetId="1" r:id="R13d20f647dc8403d"/>
    <x:sheet xmlns:r="http://schemas.openxmlformats.org/officeDocument/2006/relationships" name="Unidades" sheetId="2" r:id="R066a408ac4654158"/>
    <x:sheet xmlns:r="http://schemas.openxmlformats.org/officeDocument/2006/relationships" name="Mantenimientos" sheetId="3" r:id="R8b86afeaef804de6"/>
    <x:sheet xmlns:r="http://schemas.openxmlformats.org/officeDocument/2006/relationships" name="Control" sheetId="4" r:id="Rdddf4c81147c40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&quot;$&quot;#,##0.00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0F766E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sz val="11"/>
      <x:color rgb="FF0F172A"/>
      <x:name val="Carlito"/>
    </x:font>
    <x:font>
      <x:sz val="10"/>
      <x:color rgb="FF64748B"/>
      <x:name val="Carlito"/>
    </x:font>
    <x:font>
      <x:b/>
      <x:sz val="10"/>
      <x:color rgb="FFFFFFFF"/>
      <x:name val="Carlito"/>
    </x:font>
    <x:font>
      <x:sz val="9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82F35"/>
      </x:patternFill>
    </x:fill>
    <x:fill>
      <x:patternFill patternType="solid">
        <x:fgColor rgb="FFE9F7F4"/>
      </x:patternFill>
    </x:fill>
    <x:fill>
      <x:patternFill patternType="solid">
        <x:fgColor rgb="FF0F766E"/>
      </x:patternFill>
    </x:fill>
    <x:fill>
      <x:patternFill patternType="solid">
        <x:fgColor rgb="FFFFF8E1"/>
      </x:patternFill>
    </x:fill>
    <x:fill>
      <x:patternFill patternType="solid">
        <x:fgColor rgb="FFF8FAFC"/>
      </x:patternFill>
    </x:fill>
  </x:fills>
  <x:borders count="16">
    <x:border/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top style="thin">
        <x:color rgb="FFD9E2E8"/>
      </x:top>
    </x:border>
    <x:border>
      <x:top style="thin">
        <x:color rgb="FFD9E2E8"/>
      </x:top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</x:border>
    <x:border>
      <x:right style="thin">
        <x:color rgb="FFD9E2E8"/>
      </x:right>
    </x:border>
    <x:border>
      <x:left style="thin">
        <x:color rgb="FFD9E2E8"/>
      </x:left>
      <x:bottom style="thin">
        <x:color rgb="FFD9E2E8"/>
      </x:bottom>
    </x:border>
    <x:border>
      <x:bottom style="thin">
        <x:color rgb="FFD9E2E8"/>
      </x:bottom>
    </x:border>
    <x:border>
      <x:right style="thin">
        <x:color rgb="FFD9E2E8"/>
      </x:right>
      <x:bottom style="thin">
        <x:color rgb="FFD9E2E8"/>
      </x:bottom>
    </x:border>
    <x:border>
      <x:left style="thin">
        <x:color rgb="FFB8CBCB"/>
      </x:left>
      <x:right style="thin">
        <x:color rgb="FFB8CBCB"/>
      </x:right>
      <x:top style="thin">
        <x:color rgb="FFB8CBCB"/>
      </x:top>
      <x:bottom style="thin">
        <x:color rgb="FFB8CBCB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3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6" fillId="6" borderId="10" xfId="0" applyNumberFormat="1" applyFont="1" applyFill="1" applyBorder="1" applyAlignment="1">
      <x:alignment vertical="top" wrapText="1"/>
    </x:xf>
    <x:xf numFmtId="0" fontId="6" fillId="6" borderId="11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/>
    <x:xf numFmtId="0" fontId="7" fillId="4" borderId="12" xfId="0" applyNumberFormat="1" applyFont="1" applyFill="1" applyBorder="1"/>
    <x:xf numFmtId="0" fontId="7" fillId="4" borderId="12" xfId="0" applyNumberFormat="1" applyFont="1" applyFill="1" applyBorder="1" applyAlignment="1">
      <x:alignment wrapText="1"/>
    </x:xf>
    <x:xf numFmtId="0" fontId="7" fillId="4" borderId="12" xfId="0" applyNumberFormat="1" applyFont="1" applyFill="1" applyBorder="1" applyAlignment="1">
      <x:alignment horizontal="center" wrapText="1"/>
    </x:xf>
    <x:xf numFmtId="0" fontId="7" fillId="4" borderId="12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1" xfId="0" applyNumberFormat="1" applyFont="1" applyFill="1" applyBorder="1"/>
    <x:xf numFmtId="0" fontId="8" fillId="0" borderId="3" xfId="0" applyNumberFormat="1" applyFont="1" applyFill="1" applyBorder="1"/>
    <x:xf numFmtId="0" fontId="8" fillId="0" borderId="9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borderId="15" xfId="0" applyNumberFormat="1" applyFont="1" applyFill="1" applyBorder="1"/>
    <x:xf numFmtId="0" fontId="8" fillId="0" borderId="6" xfId="0" applyNumberFormat="1" applyFont="1" applyFill="1" applyBorder="1"/>
    <x:xf numFmtId="0" fontId="8" fillId="0" borderId="1" xfId="0" applyNumberFormat="1" applyFont="1" applyFill="1" applyBorder="1"/>
    <x:xf numFmtId="0" fontId="8" fillId="0" borderId="4" xfId="0" applyNumberFormat="1" applyFont="1" applyFill="1" applyBorder="1"/>
    <x:xf numFmtId="0" fontId="8" fillId="0" borderId="11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 wrapText="1"/>
    </x:xf>
    <x:xf numFmtId="0" fontId="8" fillId="0" borderId="13" xfId="0" applyNumberFormat="1" applyFont="1" applyFill="1" applyBorder="1" applyAlignment="1">
      <x:alignment vertical="center" wrapText="1"/>
    </x:xf>
    <x:xf numFmtId="0" fontId="8" fillId="0" borderId="14" xfId="0" applyNumberFormat="1" applyFont="1" applyFill="1" applyBorder="1" applyAlignment="1">
      <x:alignment vertical="center" wrapText="1"/>
    </x:xf>
    <x:xf numFmtId="0" fontId="8" fillId="0" borderId="15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8" fillId="5" borderId="11" xfId="0" applyNumberFormat="1" applyFont="1" applyFill="1" applyBorder="1" applyAlignment="1">
      <x:alignment vertical="center" wrapText="1"/>
    </x:xf>
    <x:xf numFmtId="0" fontId="8" fillId="5" borderId="3" xfId="0" applyNumberFormat="1" applyFont="1" applyFill="1" applyBorder="1" applyAlignment="1">
      <x:alignment vertical="center" wrapText="1"/>
    </x:xf>
    <x:xf numFmtId="0" fontId="8" fillId="5" borderId="13" xfId="0" applyNumberFormat="1" applyFont="1" applyFill="1" applyBorder="1" applyAlignment="1">
      <x:alignment vertical="center" wrapText="1"/>
    </x:xf>
    <x:xf numFmtId="0" fontId="8" fillId="5" borderId="14" xfId="0" applyNumberFormat="1" applyFont="1" applyFill="1" applyBorder="1" applyAlignment="1">
      <x:alignment vertical="center" wrapText="1"/>
    </x:xf>
    <x:xf numFmtId="0" fontId="8" fillId="5" borderId="6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200" fontId="8" fillId="5" borderId="3" xfId="0" applyNumberFormat="1" applyFont="1" applyFill="1" applyBorder="1" applyAlignment="1">
      <x:alignment vertical="center" wrapText="1"/>
    </x:xf>
    <x:xf numFmtId="200" fontId="8" fillId="5" borderId="14" xfId="0" applyNumberFormat="1" applyFont="1" applyFill="1" applyBorder="1" applyAlignment="1">
      <x:alignment vertical="center" wrapText="1"/>
    </x:xf>
    <x:xf numFmtId="200" fontId="8" fillId="5" borderId="1" xfId="0" applyNumberFormat="1" applyFont="1" applyFill="1" applyBorder="1" applyAlignment="1">
      <x:alignment vertical="center" wrapText="1"/>
    </x:xf>
    <x:xf numFmtId="201" fontId="8" fillId="5" borderId="3" xfId="0" applyNumberFormat="1" applyFont="1" applyFill="1" applyBorder="1" applyAlignment="1">
      <x:alignment vertical="center" wrapText="1"/>
    </x:xf>
    <x:xf numFmtId="201" fontId="8" fillId="0" borderId="9" xfId="0" applyNumberFormat="1" applyFont="1" applyFill="1" applyBorder="1" applyAlignment="1">
      <x:alignment vertical="center" wrapText="1"/>
    </x:xf>
    <x:xf numFmtId="201" fontId="8" fillId="5" borderId="14" xfId="0" applyNumberFormat="1" applyFont="1" applyFill="1" applyBorder="1" applyAlignment="1">
      <x:alignment vertical="center" wrapText="1"/>
    </x:xf>
    <x:xf numFmtId="201" fontId="8" fillId="0" borderId="15" xfId="0" applyNumberFormat="1" applyFont="1" applyFill="1" applyBorder="1" applyAlignment="1">
      <x:alignment vertical="center" wrapText="1"/>
    </x:xf>
    <x:xf numFmtId="201" fontId="8" fillId="5" borderId="1" xfId="0" applyNumberFormat="1" applyFont="1" applyFill="1" applyBorder="1" applyAlignment="1">
      <x:alignment vertical="center" wrapText="1"/>
    </x:xf>
    <x:xf numFmtId="201" fontId="8" fillId="0" borderId="4" xfId="0" applyNumberFormat="1" applyFont="1" applyFill="1" applyBorder="1" applyAlignment="1">
      <x:alignment vertical="center" wrapText="1"/>
    </x:xf>
    <x:xf numFmtId="202" fontId="8" fillId="5" borderId="3" xfId="0" applyNumberFormat="1" applyFont="1" applyFill="1" applyBorder="1" applyAlignment="1">
      <x:alignment vertical="center" wrapText="1"/>
    </x:xf>
    <x:xf numFmtId="202" fontId="8" fillId="0" borderId="3" xfId="0" applyNumberFormat="1" applyFont="1" applyFill="1" applyBorder="1" applyAlignment="1">
      <x:alignment vertical="center" wrapText="1"/>
    </x:xf>
    <x:xf numFmtId="202" fontId="8" fillId="5" borderId="14" xfId="0" applyNumberFormat="1" applyFont="1" applyFill="1" applyBorder="1" applyAlignment="1">
      <x:alignment vertical="center" wrapText="1"/>
    </x:xf>
    <x:xf numFmtId="202" fontId="8" fillId="0" borderId="14" xfId="0" applyNumberFormat="1" applyFont="1" applyFill="1" applyBorder="1" applyAlignment="1">
      <x:alignment vertical="center" wrapText="1"/>
    </x:xf>
    <x:xf numFmtId="202" fontId="8" fillId="5" borderId="1" xfId="0" applyNumberFormat="1" applyFont="1" applyFill="1" applyBorder="1" applyAlignment="1">
      <x:alignment vertical="center" wrapText="1"/>
    </x:xf>
    <x:xf numFmtId="202" fontId="8" fillId="0" borderId="1" xfId="0" applyNumberFormat="1" applyFont="1" applyFill="1" applyBorder="1" applyAlignment="1">
      <x:alignment vertical="center" wrapText="1"/>
    </x:xf>
    <x:xf numFmtId="202" fontId="8" fillId="0" borderId="1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92738ba6254b6f" /><Relationship Type="http://schemas.openxmlformats.org/officeDocument/2006/relationships/theme" Target="/xl/theme/theme1.xml" Id="R7dee1731e0844bf6" /><Relationship Type="http://schemas.openxmlformats.org/officeDocument/2006/relationships/sharedStrings" Target="/xl/sharedStrings.xml" Id="Rbd3607c3dc0f4653" /><Relationship Type="http://schemas.openxmlformats.org/officeDocument/2006/relationships/worksheet" Target="/xl/worksheets/sheet1.xml" Id="R13d20f647dc8403d" /><Relationship Type="http://schemas.openxmlformats.org/officeDocument/2006/relationships/worksheet" Target="/xl/worksheets/sheet2.xml" Id="R066a408ac4654158" /><Relationship Type="http://schemas.openxmlformats.org/officeDocument/2006/relationships/worksheet" Target="/xl/worksheets/sheet3.xml" Id="R8b86afeaef804de6" /><Relationship Type="http://schemas.openxmlformats.org/officeDocument/2006/relationships/worksheet" Target="/xl/worksheets/sheet4.xml" Id="Rdddf4c81147c40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4" customHeight="1">
      <x:c r="A1" s="3" t="str">
        <x:v>FARO PORTUARIO  |  CONFIGURACIÓN DE EMPRESA</x:v>
      </x:c>
      <x:c r="B1" s="3"/>
      <x:c r="C1" s="3"/>
      <x:c r="D1" s="3"/>
      <x:c r="E1" s="3"/>
      <x:c r="F1" s="3"/>
    </x:row>
    <x:row r="2" ht="28" customHeight="1">
      <x:c r="A2" s="7" t="str">
        <x:v>Control de mantenimiento preventivo y evidencias de flota.</x:v>
      </x:c>
      <x:c r="B2" s="7"/>
      <x:c r="C2" s="7"/>
      <x:c r="D2" s="7"/>
      <x:c r="E2" s="7"/>
      <x:c r="F2" s="7"/>
    </x:row>
    <x:row r="4">
      <x:c r="A4" s="9" t="str">
        <x:v>Campo editable</x:v>
      </x:c>
      <x:c r="B4" s="9" t="str">
        <x:v>Información de la empresa</x:v>
      </x:c>
    </x:row>
    <x:row r="5">
      <x:c r="A5" s="10" t="str">
        <x:v>Razón social</x:v>
      </x:c>
      <x:c r="B5" s="13" t="str"/>
    </x:row>
    <x:row r="6">
      <x:c r="A6" s="10" t="str">
        <x:v>Nombre comercial</x:v>
      </x:c>
      <x:c r="B6" s="14" t="str"/>
    </x:row>
    <x:row r="7">
      <x:c r="A7" s="10" t="str">
        <x:v>RFC</x:v>
      </x:c>
      <x:c r="B7" s="14" t="str"/>
    </x:row>
    <x:row r="8">
      <x:c r="A8" s="10" t="str">
        <x:v>Responsable</x:v>
      </x:c>
      <x:c r="B8" s="14" t="str"/>
    </x:row>
    <x:row r="9">
      <x:c r="A9" s="10" t="str">
        <x:v>Teléfono</x:v>
      </x:c>
      <x:c r="B9" s="14" t="str"/>
    </x:row>
    <x:row r="10">
      <x:c r="A10" s="10" t="str">
        <x:v>Correo</x:v>
      </x:c>
      <x:c r="B10" s="15" t="str"/>
    </x:row>
    <x:row r="12">
      <x:c r="A12" s="16" t="str">
        <x:v>Instrucciones de uso</x:v>
      </x:c>
      <x:c r="B12" s="16"/>
      <x:c r="C12" s="16"/>
      <x:c r="D12" s="16"/>
      <x:c r="E12" s="16"/>
      <x:c r="F12" s="16"/>
    </x:row>
    <x:row r="13">
      <x:c r="A13" s="36" t="str">
        <x:v>1. Completa los datos amarillos. 2. Duplica el archivo por periodo o unidad. 3. Conserva evidencias y firmas conforme a la política de tu empresa. 4. Verifica siempre la versión vigente de la norma o disposición oficial.
Fuente de referencia: https://www.dof.gob.mx/normasOficiales/5578/sct2a11_C/sct2a11_C.html</x:v>
      </x:c>
      <x:c r="B13" s="37"/>
      <x:c r="C13" s="37"/>
      <x:c r="D13" s="37"/>
      <x:c r="E13" s="37"/>
      <x:c r="F13" s="38"/>
    </x:row>
    <x:row r="14">
      <x:c r="A14" s="39"/>
      <x:c r="B14" s="40"/>
      <x:c r="C14" s="40"/>
      <x:c r="D14" s="40"/>
      <x:c r="E14" s="40"/>
      <x:c r="F14" s="41"/>
    </x:row>
    <x:row r="15">
      <x:c r="A15" s="39"/>
      <x:c r="B15" s="40"/>
      <x:c r="C15" s="40"/>
      <x:c r="D15" s="40"/>
      <x:c r="E15" s="40"/>
      <x:c r="F15" s="41"/>
    </x:row>
    <x:row r="16">
      <x:c r="A16" s="42"/>
      <x:c r="B16" s="43"/>
      <x:c r="C16" s="43"/>
      <x:c r="D16" s="43"/>
      <x:c r="E16" s="43"/>
      <x:c r="F16" s="44"/>
    </x:row>
  </x:sheetData>
  <x:mergeCells>
    <x:mergeCell ref="A1:F1"/>
    <x:mergeCell ref="A2:F2"/>
    <x:mergeCell ref="A12:F12"/>
    <x:mergeCell ref="A13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3" t="str">
        <x:v>FARO PORTUARIO  |  CATÁLOGO DE UNIDADES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Datos maestros editables para programar mantenimiento.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49" t="str">
        <x:v>Económico</x:v>
      </x:c>
      <x:c r="B4" s="49" t="str">
        <x:v>Placas</x:v>
      </x:c>
      <x:c r="C4" s="49" t="str">
        <x:v>Tipo</x:v>
      </x:c>
      <x:c r="D4" s="49" t="str">
        <x:v>Marca / modelo</x:v>
      </x:c>
      <x:c r="E4" s="49" t="str">
        <x:v>Año</x:v>
      </x:c>
      <x:c r="F4" s="49" t="str">
        <x:v>Odómetro</x:v>
      </x:c>
      <x:c r="G4" s="49" t="str">
        <x:v>Último servicio</x:v>
      </x:c>
      <x:c r="H4" s="49" t="str">
        <x:v>Intervalo km</x:v>
      </x:c>
      <x:c r="I4" s="49" t="str">
        <x:v>Próximo servicio km</x:v>
      </x:c>
    </x:row>
    <x:row r="5">
      <x:c r="A5" s="78" t="str"/>
      <x:c r="B5" s="79" t="str"/>
      <x:c r="C5" s="79" t="str"/>
      <x:c r="D5" s="79" t="str"/>
      <x:c r="E5" s="79" t="str"/>
      <x:c r="F5" s="87" t="str"/>
      <x:c r="G5" s="87" t="str"/>
      <x:c r="H5" s="87" t="str"/>
      <x:c r="I5" s="88" t="str">
        <x:f>IF(OR(F5="",H5=""),"",F5+H5)</x:f>
      </x:c>
    </x:row>
    <x:row r="6">
      <x:c r="A6" s="80" t="str"/>
      <x:c r="B6" s="81" t="str"/>
      <x:c r="C6" s="81" t="str"/>
      <x:c r="D6" s="81" t="str"/>
      <x:c r="E6" s="81" t="str"/>
      <x:c r="F6" s="89" t="str"/>
      <x:c r="G6" s="89" t="str"/>
      <x:c r="H6" s="89" t="str"/>
      <x:c r="I6" s="90" t="str">
        <x:f>IF(OR(F6="",H6=""),"",F6+H6)</x:f>
      </x:c>
    </x:row>
    <x:row r="7">
      <x:c r="A7" s="80" t="str"/>
      <x:c r="B7" s="81" t="str"/>
      <x:c r="C7" s="81" t="str"/>
      <x:c r="D7" s="81" t="str"/>
      <x:c r="E7" s="81" t="str"/>
      <x:c r="F7" s="89" t="str"/>
      <x:c r="G7" s="89" t="str"/>
      <x:c r="H7" s="89" t="str"/>
      <x:c r="I7" s="90" t="str">
        <x:f>IF(OR(F7="",H7=""),"",F7+H7)</x:f>
      </x:c>
    </x:row>
    <x:row r="8">
      <x:c r="A8" s="80" t="str"/>
      <x:c r="B8" s="81" t="str"/>
      <x:c r="C8" s="81" t="str"/>
      <x:c r="D8" s="81" t="str"/>
      <x:c r="E8" s="81" t="str"/>
      <x:c r="F8" s="89" t="str"/>
      <x:c r="G8" s="89" t="str"/>
      <x:c r="H8" s="89" t="str"/>
      <x:c r="I8" s="90" t="str">
        <x:f>IF(OR(F8="",H8=""),"",F8+H8)</x:f>
      </x:c>
    </x:row>
    <x:row r="9">
      <x:c r="A9" s="80" t="str"/>
      <x:c r="B9" s="81" t="str"/>
      <x:c r="C9" s="81" t="str"/>
      <x:c r="D9" s="81" t="str"/>
      <x:c r="E9" s="81" t="str"/>
      <x:c r="F9" s="89" t="str"/>
      <x:c r="G9" s="89" t="str"/>
      <x:c r="H9" s="89" t="str"/>
      <x:c r="I9" s="90" t="str">
        <x:f>IF(OR(F9="",H9=""),"",F9+H9)</x:f>
      </x:c>
    </x:row>
    <x:row r="10">
      <x:c r="A10" s="80" t="str"/>
      <x:c r="B10" s="81" t="str"/>
      <x:c r="C10" s="81" t="str"/>
      <x:c r="D10" s="81" t="str"/>
      <x:c r="E10" s="81" t="str"/>
      <x:c r="F10" s="89" t="str"/>
      <x:c r="G10" s="89" t="str"/>
      <x:c r="H10" s="89" t="str"/>
      <x:c r="I10" s="90" t="str">
        <x:f>IF(OR(F10="",H10=""),"",F10+H10)</x:f>
      </x:c>
    </x:row>
    <x:row r="11">
      <x:c r="A11" s="80" t="str"/>
      <x:c r="B11" s="81" t="str"/>
      <x:c r="C11" s="81" t="str"/>
      <x:c r="D11" s="81" t="str"/>
      <x:c r="E11" s="81" t="str"/>
      <x:c r="F11" s="89" t="str"/>
      <x:c r="G11" s="89" t="str"/>
      <x:c r="H11" s="89" t="str"/>
      <x:c r="I11" s="90" t="str">
        <x:f>IF(OR(F11="",H11=""),"",F11+H11)</x:f>
      </x:c>
    </x:row>
    <x:row r="12">
      <x:c r="A12" s="80" t="str"/>
      <x:c r="B12" s="81" t="str"/>
      <x:c r="C12" s="81" t="str"/>
      <x:c r="D12" s="81" t="str"/>
      <x:c r="E12" s="81" t="str"/>
      <x:c r="F12" s="89" t="str"/>
      <x:c r="G12" s="89" t="str"/>
      <x:c r="H12" s="89" t="str"/>
      <x:c r="I12" s="90" t="str">
        <x:f>IF(OR(F12="",H12=""),"",F12+H12)</x:f>
      </x:c>
    </x:row>
    <x:row r="13">
      <x:c r="A13" s="80" t="str"/>
      <x:c r="B13" s="81" t="str"/>
      <x:c r="C13" s="81" t="str"/>
      <x:c r="D13" s="81" t="str"/>
      <x:c r="E13" s="81" t="str"/>
      <x:c r="F13" s="89" t="str"/>
      <x:c r="G13" s="89" t="str"/>
      <x:c r="H13" s="89" t="str"/>
      <x:c r="I13" s="90" t="str">
        <x:f>IF(OR(F13="",H13=""),"",F13+H13)</x:f>
      </x:c>
    </x:row>
    <x:row r="14">
      <x:c r="A14" s="80" t="str"/>
      <x:c r="B14" s="81" t="str"/>
      <x:c r="C14" s="81" t="str"/>
      <x:c r="D14" s="81" t="str"/>
      <x:c r="E14" s="81" t="str"/>
      <x:c r="F14" s="89" t="str"/>
      <x:c r="G14" s="89" t="str"/>
      <x:c r="H14" s="89" t="str"/>
      <x:c r="I14" s="90" t="str">
        <x:f>IF(OR(F14="",H14=""),"",F14+H14)</x:f>
      </x:c>
    </x:row>
    <x:row r="15">
      <x:c r="A15" s="80" t="str"/>
      <x:c r="B15" s="81" t="str"/>
      <x:c r="C15" s="81" t="str"/>
      <x:c r="D15" s="81" t="str"/>
      <x:c r="E15" s="81" t="str"/>
      <x:c r="F15" s="89" t="str"/>
      <x:c r="G15" s="89" t="str"/>
      <x:c r="H15" s="89" t="str"/>
      <x:c r="I15" s="90" t="str">
        <x:f>IF(OR(F15="",H15=""),"",F15+H15)</x:f>
      </x:c>
    </x:row>
    <x:row r="16">
      <x:c r="A16" s="80" t="str"/>
      <x:c r="B16" s="81" t="str"/>
      <x:c r="C16" s="81" t="str"/>
      <x:c r="D16" s="81" t="str"/>
      <x:c r="E16" s="81" t="str"/>
      <x:c r="F16" s="89" t="str"/>
      <x:c r="G16" s="89" t="str"/>
      <x:c r="H16" s="89" t="str"/>
      <x:c r="I16" s="90" t="str">
        <x:f>IF(OR(F16="",H16=""),"",F16+H16)</x:f>
      </x:c>
    </x:row>
    <x:row r="17">
      <x:c r="A17" s="80" t="str"/>
      <x:c r="B17" s="81" t="str"/>
      <x:c r="C17" s="81" t="str"/>
      <x:c r="D17" s="81" t="str"/>
      <x:c r="E17" s="81" t="str"/>
      <x:c r="F17" s="89" t="str"/>
      <x:c r="G17" s="89" t="str"/>
      <x:c r="H17" s="89" t="str"/>
      <x:c r="I17" s="90" t="str">
        <x:f>IF(OR(F17="",H17=""),"",F17+H17)</x:f>
      </x:c>
    </x:row>
    <x:row r="18">
      <x:c r="A18" s="80" t="str"/>
      <x:c r="B18" s="81" t="str"/>
      <x:c r="C18" s="81" t="str"/>
      <x:c r="D18" s="81" t="str"/>
      <x:c r="E18" s="81" t="str"/>
      <x:c r="F18" s="89" t="str"/>
      <x:c r="G18" s="89" t="str"/>
      <x:c r="H18" s="89" t="str"/>
      <x:c r="I18" s="90" t="str">
        <x:f>IF(OR(F18="",H18=""),"",F18+H18)</x:f>
      </x:c>
    </x:row>
    <x:row r="19">
      <x:c r="A19" s="80" t="str"/>
      <x:c r="B19" s="81" t="str"/>
      <x:c r="C19" s="81" t="str"/>
      <x:c r="D19" s="81" t="str"/>
      <x:c r="E19" s="81" t="str"/>
      <x:c r="F19" s="89" t="str"/>
      <x:c r="G19" s="89" t="str"/>
      <x:c r="H19" s="89" t="str"/>
      <x:c r="I19" s="90" t="str">
        <x:f>IF(OR(F19="",H19=""),"",F19+H19)</x:f>
      </x:c>
    </x:row>
    <x:row r="20">
      <x:c r="A20" s="80" t="str"/>
      <x:c r="B20" s="81" t="str"/>
      <x:c r="C20" s="81" t="str"/>
      <x:c r="D20" s="81" t="str"/>
      <x:c r="E20" s="81" t="str"/>
      <x:c r="F20" s="89" t="str"/>
      <x:c r="G20" s="89" t="str"/>
      <x:c r="H20" s="89" t="str"/>
      <x:c r="I20" s="90" t="str">
        <x:f>IF(OR(F20="",H20=""),"",F20+H20)</x:f>
      </x:c>
    </x:row>
    <x:row r="21">
      <x:c r="A21" s="80" t="str"/>
      <x:c r="B21" s="81" t="str"/>
      <x:c r="C21" s="81" t="str"/>
      <x:c r="D21" s="81" t="str"/>
      <x:c r="E21" s="81" t="str"/>
      <x:c r="F21" s="89" t="str"/>
      <x:c r="G21" s="89" t="str"/>
      <x:c r="H21" s="89" t="str"/>
      <x:c r="I21" s="90" t="str">
        <x:f>IF(OR(F21="",H21=""),"",F21+H21)</x:f>
      </x:c>
    </x:row>
    <x:row r="22">
      <x:c r="A22" s="80" t="str"/>
      <x:c r="B22" s="81" t="str"/>
      <x:c r="C22" s="81" t="str"/>
      <x:c r="D22" s="81" t="str"/>
      <x:c r="E22" s="81" t="str"/>
      <x:c r="F22" s="89" t="str"/>
      <x:c r="G22" s="89" t="str"/>
      <x:c r="H22" s="89" t="str"/>
      <x:c r="I22" s="90" t="str">
        <x:f>IF(OR(F22="",H22=""),"",F22+H22)</x:f>
      </x:c>
    </x:row>
    <x:row r="23">
      <x:c r="A23" s="80" t="str"/>
      <x:c r="B23" s="81" t="str"/>
      <x:c r="C23" s="81" t="str"/>
      <x:c r="D23" s="81" t="str"/>
      <x:c r="E23" s="81" t="str"/>
      <x:c r="F23" s="89" t="str"/>
      <x:c r="G23" s="89" t="str"/>
      <x:c r="H23" s="89" t="str"/>
      <x:c r="I23" s="90" t="str">
        <x:f>IF(OR(F23="",H23=""),"",F23+H23)</x:f>
      </x:c>
    </x:row>
    <x:row r="24">
      <x:c r="A24" s="80" t="str"/>
      <x:c r="B24" s="81" t="str"/>
      <x:c r="C24" s="81" t="str"/>
      <x:c r="D24" s="81" t="str"/>
      <x:c r="E24" s="81" t="str"/>
      <x:c r="F24" s="89" t="str"/>
      <x:c r="G24" s="89" t="str"/>
      <x:c r="H24" s="89" t="str"/>
      <x:c r="I24" s="90" t="str">
        <x:f>IF(OR(F24="",H24=""),"",F24+H24)</x:f>
      </x:c>
    </x:row>
    <x:row r="25">
      <x:c r="A25" s="80" t="str"/>
      <x:c r="B25" s="81" t="str"/>
      <x:c r="C25" s="81" t="str"/>
      <x:c r="D25" s="81" t="str"/>
      <x:c r="E25" s="81" t="str"/>
      <x:c r="F25" s="89" t="str"/>
      <x:c r="G25" s="89" t="str"/>
      <x:c r="H25" s="89" t="str"/>
      <x:c r="I25" s="90" t="str">
        <x:f>IF(OR(F25="",H25=""),"",F25+H25)</x:f>
      </x:c>
    </x:row>
    <x:row r="26">
      <x:c r="A26" s="80" t="str"/>
      <x:c r="B26" s="81" t="str"/>
      <x:c r="C26" s="81" t="str"/>
      <x:c r="D26" s="81" t="str"/>
      <x:c r="E26" s="81" t="str"/>
      <x:c r="F26" s="89" t="str"/>
      <x:c r="G26" s="89" t="str"/>
      <x:c r="H26" s="89" t="str"/>
      <x:c r="I26" s="90" t="str">
        <x:f>IF(OR(F26="",H26=""),"",F26+H26)</x:f>
      </x:c>
    </x:row>
    <x:row r="27">
      <x:c r="A27" s="80" t="str"/>
      <x:c r="B27" s="81" t="str"/>
      <x:c r="C27" s="81" t="str"/>
      <x:c r="D27" s="81" t="str"/>
      <x:c r="E27" s="81" t="str"/>
      <x:c r="F27" s="89" t="str"/>
      <x:c r="G27" s="89" t="str"/>
      <x:c r="H27" s="89" t="str"/>
      <x:c r="I27" s="90" t="str">
        <x:f>IF(OR(F27="",H27=""),"",F27+H27)</x:f>
      </x:c>
    </x:row>
    <x:row r="28">
      <x:c r="A28" s="80" t="str"/>
      <x:c r="B28" s="81" t="str"/>
      <x:c r="C28" s="81" t="str"/>
      <x:c r="D28" s="81" t="str"/>
      <x:c r="E28" s="81" t="str"/>
      <x:c r="F28" s="89" t="str"/>
      <x:c r="G28" s="89" t="str"/>
      <x:c r="H28" s="89" t="str"/>
      <x:c r="I28" s="90" t="str">
        <x:f>IF(OR(F28="",H28=""),"",F28+H28)</x:f>
      </x:c>
    </x:row>
    <x:row r="29">
      <x:c r="A29" s="80" t="str"/>
      <x:c r="B29" s="81" t="str"/>
      <x:c r="C29" s="81" t="str"/>
      <x:c r="D29" s="81" t="str"/>
      <x:c r="E29" s="81" t="str"/>
      <x:c r="F29" s="89" t="str"/>
      <x:c r="G29" s="89" t="str"/>
      <x:c r="H29" s="89" t="str"/>
      <x:c r="I29" s="90" t="str">
        <x:f>IF(OR(F29="",H29=""),"",F29+H29)</x:f>
      </x:c>
    </x:row>
    <x:row r="30">
      <x:c r="A30" s="80" t="str"/>
      <x:c r="B30" s="81" t="str"/>
      <x:c r="C30" s="81" t="str"/>
      <x:c r="D30" s="81" t="str"/>
      <x:c r="E30" s="81" t="str"/>
      <x:c r="F30" s="89" t="str"/>
      <x:c r="G30" s="89" t="str"/>
      <x:c r="H30" s="89" t="str"/>
      <x:c r="I30" s="90" t="str">
        <x:f>IF(OR(F30="",H30=""),"",F30+H30)</x:f>
      </x:c>
    </x:row>
    <x:row r="31">
      <x:c r="A31" s="80" t="str"/>
      <x:c r="B31" s="81" t="str"/>
      <x:c r="C31" s="81" t="str"/>
      <x:c r="D31" s="81" t="str"/>
      <x:c r="E31" s="81" t="str"/>
      <x:c r="F31" s="89" t="str"/>
      <x:c r="G31" s="89" t="str"/>
      <x:c r="H31" s="89" t="str"/>
      <x:c r="I31" s="90" t="str">
        <x:f>IF(OR(F31="",H31=""),"",F31+H31)</x:f>
      </x:c>
    </x:row>
    <x:row r="32">
      <x:c r="A32" s="80" t="str"/>
      <x:c r="B32" s="81" t="str"/>
      <x:c r="C32" s="81" t="str"/>
      <x:c r="D32" s="81" t="str"/>
      <x:c r="E32" s="81" t="str"/>
      <x:c r="F32" s="89" t="str"/>
      <x:c r="G32" s="89" t="str"/>
      <x:c r="H32" s="89" t="str"/>
      <x:c r="I32" s="90" t="str">
        <x:f>IF(OR(F32="",H32=""),"",F32+H32)</x:f>
      </x:c>
    </x:row>
    <x:row r="33">
      <x:c r="A33" s="80" t="str"/>
      <x:c r="B33" s="81" t="str"/>
      <x:c r="C33" s="81" t="str"/>
      <x:c r="D33" s="81" t="str"/>
      <x:c r="E33" s="81" t="str"/>
      <x:c r="F33" s="89" t="str"/>
      <x:c r="G33" s="89" t="str"/>
      <x:c r="H33" s="89" t="str"/>
      <x:c r="I33" s="90" t="str">
        <x:f>IF(OR(F33="",H33=""),"",F33+H33)</x:f>
      </x:c>
    </x:row>
    <x:row r="34">
      <x:c r="A34" s="80" t="str"/>
      <x:c r="B34" s="81" t="str"/>
      <x:c r="C34" s="81" t="str"/>
      <x:c r="D34" s="81" t="str"/>
      <x:c r="E34" s="81" t="str"/>
      <x:c r="F34" s="89" t="str"/>
      <x:c r="G34" s="89" t="str"/>
      <x:c r="H34" s="89" t="str"/>
      <x:c r="I34" s="90" t="str">
        <x:f>IF(OR(F34="",H34=""),"",F34+H34)</x:f>
      </x:c>
    </x:row>
    <x:row r="35">
      <x:c r="A35" s="80" t="str"/>
      <x:c r="B35" s="81" t="str"/>
      <x:c r="C35" s="81" t="str"/>
      <x:c r="D35" s="81" t="str"/>
      <x:c r="E35" s="81" t="str"/>
      <x:c r="F35" s="89" t="str"/>
      <x:c r="G35" s="89" t="str"/>
      <x:c r="H35" s="89" t="str"/>
      <x:c r="I35" s="90" t="str">
        <x:f>IF(OR(F35="",H35=""),"",F35+H35)</x:f>
      </x:c>
    </x:row>
    <x:row r="36">
      <x:c r="A36" s="80" t="str"/>
      <x:c r="B36" s="81" t="str"/>
      <x:c r="C36" s="81" t="str"/>
      <x:c r="D36" s="81" t="str"/>
      <x:c r="E36" s="81" t="str"/>
      <x:c r="F36" s="89" t="str"/>
      <x:c r="G36" s="89" t="str"/>
      <x:c r="H36" s="89" t="str"/>
      <x:c r="I36" s="90" t="str">
        <x:f>IF(OR(F36="",H36=""),"",F36+H36)</x:f>
      </x:c>
    </x:row>
    <x:row r="37">
      <x:c r="A37" s="80" t="str"/>
      <x:c r="B37" s="81" t="str"/>
      <x:c r="C37" s="81" t="str"/>
      <x:c r="D37" s="81" t="str"/>
      <x:c r="E37" s="81" t="str"/>
      <x:c r="F37" s="89" t="str"/>
      <x:c r="G37" s="89" t="str"/>
      <x:c r="H37" s="89" t="str"/>
      <x:c r="I37" s="90" t="str">
        <x:f>IF(OR(F37="",H37=""),"",F37+H37)</x:f>
      </x:c>
    </x:row>
    <x:row r="38">
      <x:c r="A38" s="80" t="str"/>
      <x:c r="B38" s="81" t="str"/>
      <x:c r="C38" s="81" t="str"/>
      <x:c r="D38" s="81" t="str"/>
      <x:c r="E38" s="81" t="str"/>
      <x:c r="F38" s="89" t="str"/>
      <x:c r="G38" s="89" t="str"/>
      <x:c r="H38" s="89" t="str"/>
      <x:c r="I38" s="90" t="str">
        <x:f>IF(OR(F38="",H38=""),"",F38+H38)</x:f>
      </x:c>
    </x:row>
    <x:row r="39">
      <x:c r="A39" s="80" t="str"/>
      <x:c r="B39" s="81" t="str"/>
      <x:c r="C39" s="81" t="str"/>
      <x:c r="D39" s="81" t="str"/>
      <x:c r="E39" s="81" t="str"/>
      <x:c r="F39" s="89" t="str"/>
      <x:c r="G39" s="89" t="str"/>
      <x:c r="H39" s="89" t="str"/>
      <x:c r="I39" s="90" t="str">
        <x:f>IF(OR(F39="",H39=""),"",F39+H39)</x:f>
      </x:c>
    </x:row>
    <x:row r="40">
      <x:c r="A40" s="80" t="str"/>
      <x:c r="B40" s="81" t="str"/>
      <x:c r="C40" s="81" t="str"/>
      <x:c r="D40" s="81" t="str"/>
      <x:c r="E40" s="81" t="str"/>
      <x:c r="F40" s="89" t="str"/>
      <x:c r="G40" s="89" t="str"/>
      <x:c r="H40" s="89" t="str"/>
      <x:c r="I40" s="90" t="str">
        <x:f>IF(OR(F40="",H40=""),"",F40+H40)</x:f>
      </x:c>
    </x:row>
    <x:row r="41">
      <x:c r="A41" s="80" t="str"/>
      <x:c r="B41" s="81" t="str"/>
      <x:c r="C41" s="81" t="str"/>
      <x:c r="D41" s="81" t="str"/>
      <x:c r="E41" s="81" t="str"/>
      <x:c r="F41" s="89" t="str"/>
      <x:c r="G41" s="89" t="str"/>
      <x:c r="H41" s="89" t="str"/>
      <x:c r="I41" s="90" t="str">
        <x:f>IF(OR(F41="",H41=""),"",F41+H41)</x:f>
      </x:c>
    </x:row>
    <x:row r="42">
      <x:c r="A42" s="80" t="str"/>
      <x:c r="B42" s="81" t="str"/>
      <x:c r="C42" s="81" t="str"/>
      <x:c r="D42" s="81" t="str"/>
      <x:c r="E42" s="81" t="str"/>
      <x:c r="F42" s="89" t="str"/>
      <x:c r="G42" s="89" t="str"/>
      <x:c r="H42" s="89" t="str"/>
      <x:c r="I42" s="90" t="str">
        <x:f>IF(OR(F42="",H42=""),"",F42+H42)</x:f>
      </x:c>
    </x:row>
    <x:row r="43">
      <x:c r="A43" s="80" t="str"/>
      <x:c r="B43" s="81" t="str"/>
      <x:c r="C43" s="81" t="str"/>
      <x:c r="D43" s="81" t="str"/>
      <x:c r="E43" s="81" t="str"/>
      <x:c r="F43" s="89" t="str"/>
      <x:c r="G43" s="89" t="str"/>
      <x:c r="H43" s="89" t="str"/>
      <x:c r="I43" s="90" t="str">
        <x:f>IF(OR(F43="",H43=""),"",F43+H43)</x:f>
      </x:c>
    </x:row>
    <x:row r="44">
      <x:c r="A44" s="80" t="str"/>
      <x:c r="B44" s="81" t="str"/>
      <x:c r="C44" s="81" t="str"/>
      <x:c r="D44" s="81" t="str"/>
      <x:c r="E44" s="81" t="str"/>
      <x:c r="F44" s="89" t="str"/>
      <x:c r="G44" s="89" t="str"/>
      <x:c r="H44" s="89" t="str"/>
      <x:c r="I44" s="90" t="str">
        <x:f>IF(OR(F44="",H44=""),"",F44+H44)</x:f>
      </x:c>
    </x:row>
    <x:row r="45">
      <x:c r="A45" s="80" t="str"/>
      <x:c r="B45" s="81" t="str"/>
      <x:c r="C45" s="81" t="str"/>
      <x:c r="D45" s="81" t="str"/>
      <x:c r="E45" s="81" t="str"/>
      <x:c r="F45" s="89" t="str"/>
      <x:c r="G45" s="89" t="str"/>
      <x:c r="H45" s="89" t="str"/>
      <x:c r="I45" s="90" t="str">
        <x:f>IF(OR(F45="",H45=""),"",F45+H45)</x:f>
      </x:c>
    </x:row>
    <x:row r="46">
      <x:c r="A46" s="80" t="str"/>
      <x:c r="B46" s="81" t="str"/>
      <x:c r="C46" s="81" t="str"/>
      <x:c r="D46" s="81" t="str"/>
      <x:c r="E46" s="81" t="str"/>
      <x:c r="F46" s="89" t="str"/>
      <x:c r="G46" s="89" t="str"/>
      <x:c r="H46" s="89" t="str"/>
      <x:c r="I46" s="90" t="str">
        <x:f>IF(OR(F46="",H46=""),"",F46+H46)</x:f>
      </x:c>
    </x:row>
    <x:row r="47">
      <x:c r="A47" s="80" t="str"/>
      <x:c r="B47" s="81" t="str"/>
      <x:c r="C47" s="81" t="str"/>
      <x:c r="D47" s="81" t="str"/>
      <x:c r="E47" s="81" t="str"/>
      <x:c r="F47" s="89" t="str"/>
      <x:c r="G47" s="89" t="str"/>
      <x:c r="H47" s="89" t="str"/>
      <x:c r="I47" s="90" t="str">
        <x:f>IF(OR(F47="",H47=""),"",F47+H47)</x:f>
      </x:c>
    </x:row>
    <x:row r="48">
      <x:c r="A48" s="80" t="str"/>
      <x:c r="B48" s="81" t="str"/>
      <x:c r="C48" s="81" t="str"/>
      <x:c r="D48" s="81" t="str"/>
      <x:c r="E48" s="81" t="str"/>
      <x:c r="F48" s="89" t="str"/>
      <x:c r="G48" s="89" t="str"/>
      <x:c r="H48" s="89" t="str"/>
      <x:c r="I48" s="90" t="str">
        <x:f>IF(OR(F48="",H48=""),"",F48+H48)</x:f>
      </x:c>
    </x:row>
    <x:row r="49">
      <x:c r="A49" s="80" t="str"/>
      <x:c r="B49" s="81" t="str"/>
      <x:c r="C49" s="81" t="str"/>
      <x:c r="D49" s="81" t="str"/>
      <x:c r="E49" s="81" t="str"/>
      <x:c r="F49" s="89" t="str"/>
      <x:c r="G49" s="89" t="str"/>
      <x:c r="H49" s="89" t="str"/>
      <x:c r="I49" s="90" t="str">
        <x:f>IF(OR(F49="",H49=""),"",F49+H49)</x:f>
      </x:c>
    </x:row>
    <x:row r="50">
      <x:c r="A50" s="80" t="str"/>
      <x:c r="B50" s="81" t="str"/>
      <x:c r="C50" s="81" t="str"/>
      <x:c r="D50" s="81" t="str"/>
      <x:c r="E50" s="81" t="str"/>
      <x:c r="F50" s="89" t="str"/>
      <x:c r="G50" s="89" t="str"/>
      <x:c r="H50" s="89" t="str"/>
      <x:c r="I50" s="90" t="str">
        <x:f>IF(OR(F50="",H50=""),"",F50+H50)</x:f>
      </x:c>
    </x:row>
    <x:row r="51">
      <x:c r="A51" s="80" t="str"/>
      <x:c r="B51" s="81" t="str"/>
      <x:c r="C51" s="81" t="str"/>
      <x:c r="D51" s="81" t="str"/>
      <x:c r="E51" s="81" t="str"/>
      <x:c r="F51" s="89" t="str"/>
      <x:c r="G51" s="89" t="str"/>
      <x:c r="H51" s="89" t="str"/>
      <x:c r="I51" s="90" t="str">
        <x:f>IF(OR(F51="",H51=""),"",F51+H51)</x:f>
      </x:c>
    </x:row>
    <x:row r="52">
      <x:c r="A52" s="80" t="str"/>
      <x:c r="B52" s="81" t="str"/>
      <x:c r="C52" s="81" t="str"/>
      <x:c r="D52" s="81" t="str"/>
      <x:c r="E52" s="81" t="str"/>
      <x:c r="F52" s="89" t="str"/>
      <x:c r="G52" s="89" t="str"/>
      <x:c r="H52" s="89" t="str"/>
      <x:c r="I52" s="90" t="str">
        <x:f>IF(OR(F52="",H52=""),"",F52+H52)</x:f>
      </x:c>
    </x:row>
    <x:row r="53">
      <x:c r="A53" s="80" t="str"/>
      <x:c r="B53" s="81" t="str"/>
      <x:c r="C53" s="81" t="str"/>
      <x:c r="D53" s="81" t="str"/>
      <x:c r="E53" s="81" t="str"/>
      <x:c r="F53" s="89" t="str"/>
      <x:c r="G53" s="89" t="str"/>
      <x:c r="H53" s="89" t="str"/>
      <x:c r="I53" s="90" t="str">
        <x:f>IF(OR(F53="",H53=""),"",F53+H53)</x:f>
      </x:c>
    </x:row>
    <x:row r="54">
      <x:c r="A54" s="82" t="str"/>
      <x:c r="B54" s="83" t="str"/>
      <x:c r="C54" s="83" t="str"/>
      <x:c r="D54" s="83" t="str"/>
      <x:c r="E54" s="83" t="str"/>
      <x:c r="F54" s="91" t="str"/>
      <x:c r="G54" s="91" t="str"/>
      <x:c r="H54" s="91" t="str"/>
      <x:c r="I54" s="92" t="str">
        <x:f>IF(OR(F54="",H54=""),"",F54+H54)</x:f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4" customHeight="1">
      <x:c r="A1" s="3" t="str">
        <x:v>FARO PORTUARIO  |  ORDEN Y EVIDENCIA DE MANTENIMIENTO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Registra servicios, costos, proveedor, factura y liberación.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49" t="str">
        <x:v>Folio</x:v>
      </x:c>
      <x:c r="B4" s="49" t="str">
        <x:v>Fecha</x:v>
      </x:c>
      <x:c r="C4" s="49" t="str">
        <x:v>Económico</x:v>
      </x:c>
      <x:c r="D4" s="49" t="str">
        <x:v>Tipo servicio</x:v>
      </x:c>
      <x:c r="E4" s="49" t="str">
        <x:v>Odómetro</x:v>
      </x:c>
      <x:c r="F4" s="49" t="str">
        <x:v>Descripción</x:v>
      </x:c>
      <x:c r="G4" s="49" t="str">
        <x:v>Proveedor</x:v>
      </x:c>
      <x:c r="H4" s="49" t="str">
        <x:v>Costo sin IVA</x:v>
      </x:c>
      <x:c r="I4" s="49" t="str">
        <x:v>IVA</x:v>
      </x:c>
      <x:c r="J4" s="49" t="str">
        <x:v>Total</x:v>
      </x:c>
      <x:c r="K4" s="49" t="str">
        <x:v>Estatus</x:v>
      </x:c>
    </x:row>
    <x:row r="5">
      <x:c r="A5" s="78" t="str"/>
      <x:c r="B5" s="84" t="str"/>
      <x:c r="C5" s="79" t="str"/>
      <x:c r="D5" s="79" t="str"/>
      <x:c r="E5" s="79" t="str"/>
      <x:c r="F5" s="79" t="str"/>
      <x:c r="G5" s="79" t="str"/>
      <x:c r="H5" s="93" t="str"/>
      <x:c r="I5" s="94" t="str">
        <x:f>IF(H5="","",H5*0.16)</x:f>
      </x:c>
      <x:c r="J5" s="94" t="str">
        <x:f>IF(H5="","",H5+I5)</x:f>
      </x:c>
      <x:c r="K5" s="71" t="str"/>
    </x:row>
    <x:row r="6">
      <x:c r="A6" s="80" t="str"/>
      <x:c r="B6" s="85" t="str"/>
      <x:c r="C6" s="81" t="str"/>
      <x:c r="D6" s="81" t="str"/>
      <x:c r="E6" s="81" t="str"/>
      <x:c r="F6" s="81" t="str"/>
      <x:c r="G6" s="81" t="str"/>
      <x:c r="H6" s="95" t="str"/>
      <x:c r="I6" s="96" t="str">
        <x:f>IF(H6="","",H6*0.16)</x:f>
      </x:c>
      <x:c r="J6" s="96" t="str">
        <x:f>IF(H6="","",H6+I6)</x:f>
      </x:c>
      <x:c r="K6" s="74" t="str"/>
    </x:row>
    <x:row r="7">
      <x:c r="A7" s="80" t="str"/>
      <x:c r="B7" s="85" t="str"/>
      <x:c r="C7" s="81" t="str"/>
      <x:c r="D7" s="81" t="str"/>
      <x:c r="E7" s="81" t="str"/>
      <x:c r="F7" s="81" t="str"/>
      <x:c r="G7" s="81" t="str"/>
      <x:c r="H7" s="95" t="str"/>
      <x:c r="I7" s="96" t="str">
        <x:f>IF(H7="","",H7*0.16)</x:f>
      </x:c>
      <x:c r="J7" s="96" t="str">
        <x:f>IF(H7="","",H7+I7)</x:f>
      </x:c>
      <x:c r="K7" s="74" t="str"/>
    </x:row>
    <x:row r="8">
      <x:c r="A8" s="80" t="str"/>
      <x:c r="B8" s="85" t="str"/>
      <x:c r="C8" s="81" t="str"/>
      <x:c r="D8" s="81" t="str"/>
      <x:c r="E8" s="81" t="str"/>
      <x:c r="F8" s="81" t="str"/>
      <x:c r="G8" s="81" t="str"/>
      <x:c r="H8" s="95" t="str"/>
      <x:c r="I8" s="96" t="str">
        <x:f>IF(H8="","",H8*0.16)</x:f>
      </x:c>
      <x:c r="J8" s="96" t="str">
        <x:f>IF(H8="","",H8+I8)</x:f>
      </x:c>
      <x:c r="K8" s="74" t="str"/>
    </x:row>
    <x:row r="9">
      <x:c r="A9" s="80" t="str"/>
      <x:c r="B9" s="85" t="str"/>
      <x:c r="C9" s="81" t="str"/>
      <x:c r="D9" s="81" t="str"/>
      <x:c r="E9" s="81" t="str"/>
      <x:c r="F9" s="81" t="str"/>
      <x:c r="G9" s="81" t="str"/>
      <x:c r="H9" s="95" t="str"/>
      <x:c r="I9" s="96" t="str">
        <x:f>IF(H9="","",H9*0.16)</x:f>
      </x:c>
      <x:c r="J9" s="96" t="str">
        <x:f>IF(H9="","",H9+I9)</x:f>
      </x:c>
      <x:c r="K9" s="74" t="str"/>
    </x:row>
    <x:row r="10">
      <x:c r="A10" s="80" t="str"/>
      <x:c r="B10" s="85" t="str"/>
      <x:c r="C10" s="81" t="str"/>
      <x:c r="D10" s="81" t="str"/>
      <x:c r="E10" s="81" t="str"/>
      <x:c r="F10" s="81" t="str"/>
      <x:c r="G10" s="81" t="str"/>
      <x:c r="H10" s="95" t="str"/>
      <x:c r="I10" s="96" t="str">
        <x:f>IF(H10="","",H10*0.16)</x:f>
      </x:c>
      <x:c r="J10" s="96" t="str">
        <x:f>IF(H10="","",H10+I10)</x:f>
      </x:c>
      <x:c r="K10" s="74" t="str"/>
    </x:row>
    <x:row r="11">
      <x:c r="A11" s="80" t="str"/>
      <x:c r="B11" s="85" t="str"/>
      <x:c r="C11" s="81" t="str"/>
      <x:c r="D11" s="81" t="str"/>
      <x:c r="E11" s="81" t="str"/>
      <x:c r="F11" s="81" t="str"/>
      <x:c r="G11" s="81" t="str"/>
      <x:c r="H11" s="95" t="str"/>
      <x:c r="I11" s="96" t="str">
        <x:f>IF(H11="","",H11*0.16)</x:f>
      </x:c>
      <x:c r="J11" s="96" t="str">
        <x:f>IF(H11="","",H11+I11)</x:f>
      </x:c>
      <x:c r="K11" s="74" t="str"/>
    </x:row>
    <x:row r="12">
      <x:c r="A12" s="80" t="str"/>
      <x:c r="B12" s="85" t="str"/>
      <x:c r="C12" s="81" t="str"/>
      <x:c r="D12" s="81" t="str"/>
      <x:c r="E12" s="81" t="str"/>
      <x:c r="F12" s="81" t="str"/>
      <x:c r="G12" s="81" t="str"/>
      <x:c r="H12" s="95" t="str"/>
      <x:c r="I12" s="96" t="str">
        <x:f>IF(H12="","",H12*0.16)</x:f>
      </x:c>
      <x:c r="J12" s="96" t="str">
        <x:f>IF(H12="","",H12+I12)</x:f>
      </x:c>
      <x:c r="K12" s="74" t="str"/>
    </x:row>
    <x:row r="13">
      <x:c r="A13" s="80" t="str"/>
      <x:c r="B13" s="85" t="str"/>
      <x:c r="C13" s="81" t="str"/>
      <x:c r="D13" s="81" t="str"/>
      <x:c r="E13" s="81" t="str"/>
      <x:c r="F13" s="81" t="str"/>
      <x:c r="G13" s="81" t="str"/>
      <x:c r="H13" s="95" t="str"/>
      <x:c r="I13" s="96" t="str">
        <x:f>IF(H13="","",H13*0.16)</x:f>
      </x:c>
      <x:c r="J13" s="96" t="str">
        <x:f>IF(H13="","",H13+I13)</x:f>
      </x:c>
      <x:c r="K13" s="74" t="str"/>
    </x:row>
    <x:row r="14">
      <x:c r="A14" s="80" t="str"/>
      <x:c r="B14" s="85" t="str"/>
      <x:c r="C14" s="81" t="str"/>
      <x:c r="D14" s="81" t="str"/>
      <x:c r="E14" s="81" t="str"/>
      <x:c r="F14" s="81" t="str"/>
      <x:c r="G14" s="81" t="str"/>
      <x:c r="H14" s="95" t="str"/>
      <x:c r="I14" s="96" t="str">
        <x:f>IF(H14="","",H14*0.16)</x:f>
      </x:c>
      <x:c r="J14" s="96" t="str">
        <x:f>IF(H14="","",H14+I14)</x:f>
      </x:c>
      <x:c r="K14" s="74" t="str"/>
    </x:row>
    <x:row r="15">
      <x:c r="A15" s="80" t="str"/>
      <x:c r="B15" s="85" t="str"/>
      <x:c r="C15" s="81" t="str"/>
      <x:c r="D15" s="81" t="str"/>
      <x:c r="E15" s="81" t="str"/>
      <x:c r="F15" s="81" t="str"/>
      <x:c r="G15" s="81" t="str"/>
      <x:c r="H15" s="95" t="str"/>
      <x:c r="I15" s="96" t="str">
        <x:f>IF(H15="","",H15*0.16)</x:f>
      </x:c>
      <x:c r="J15" s="96" t="str">
        <x:f>IF(H15="","",H15+I15)</x:f>
      </x:c>
      <x:c r="K15" s="74" t="str"/>
    </x:row>
    <x:row r="16">
      <x:c r="A16" s="80" t="str"/>
      <x:c r="B16" s="85" t="str"/>
      <x:c r="C16" s="81" t="str"/>
      <x:c r="D16" s="81" t="str"/>
      <x:c r="E16" s="81" t="str"/>
      <x:c r="F16" s="81" t="str"/>
      <x:c r="G16" s="81" t="str"/>
      <x:c r="H16" s="95" t="str"/>
      <x:c r="I16" s="96" t="str">
        <x:f>IF(H16="","",H16*0.16)</x:f>
      </x:c>
      <x:c r="J16" s="96" t="str">
        <x:f>IF(H16="","",H16+I16)</x:f>
      </x:c>
      <x:c r="K16" s="74" t="str"/>
    </x:row>
    <x:row r="17">
      <x:c r="A17" s="80" t="str"/>
      <x:c r="B17" s="85" t="str"/>
      <x:c r="C17" s="81" t="str"/>
      <x:c r="D17" s="81" t="str"/>
      <x:c r="E17" s="81" t="str"/>
      <x:c r="F17" s="81" t="str"/>
      <x:c r="G17" s="81" t="str"/>
      <x:c r="H17" s="95" t="str"/>
      <x:c r="I17" s="96" t="str">
        <x:f>IF(H17="","",H17*0.16)</x:f>
      </x:c>
      <x:c r="J17" s="96" t="str">
        <x:f>IF(H17="","",H17+I17)</x:f>
      </x:c>
      <x:c r="K17" s="74" t="str"/>
    </x:row>
    <x:row r="18">
      <x:c r="A18" s="80" t="str"/>
      <x:c r="B18" s="85" t="str"/>
      <x:c r="C18" s="81" t="str"/>
      <x:c r="D18" s="81" t="str"/>
      <x:c r="E18" s="81" t="str"/>
      <x:c r="F18" s="81" t="str"/>
      <x:c r="G18" s="81" t="str"/>
      <x:c r="H18" s="95" t="str"/>
      <x:c r="I18" s="96" t="str">
        <x:f>IF(H18="","",H18*0.16)</x:f>
      </x:c>
      <x:c r="J18" s="96" t="str">
        <x:f>IF(H18="","",H18+I18)</x:f>
      </x:c>
      <x:c r="K18" s="74" t="str"/>
    </x:row>
    <x:row r="19">
      <x:c r="A19" s="80" t="str"/>
      <x:c r="B19" s="85" t="str"/>
      <x:c r="C19" s="81" t="str"/>
      <x:c r="D19" s="81" t="str"/>
      <x:c r="E19" s="81" t="str"/>
      <x:c r="F19" s="81" t="str"/>
      <x:c r="G19" s="81" t="str"/>
      <x:c r="H19" s="95" t="str"/>
      <x:c r="I19" s="96" t="str">
        <x:f>IF(H19="","",H19*0.16)</x:f>
      </x:c>
      <x:c r="J19" s="96" t="str">
        <x:f>IF(H19="","",H19+I19)</x:f>
      </x:c>
      <x:c r="K19" s="74" t="str"/>
    </x:row>
    <x:row r="20">
      <x:c r="A20" s="80" t="str"/>
      <x:c r="B20" s="85" t="str"/>
      <x:c r="C20" s="81" t="str"/>
      <x:c r="D20" s="81" t="str"/>
      <x:c r="E20" s="81" t="str"/>
      <x:c r="F20" s="81" t="str"/>
      <x:c r="G20" s="81" t="str"/>
      <x:c r="H20" s="95" t="str"/>
      <x:c r="I20" s="96" t="str">
        <x:f>IF(H20="","",H20*0.16)</x:f>
      </x:c>
      <x:c r="J20" s="96" t="str">
        <x:f>IF(H20="","",H20+I20)</x:f>
      </x:c>
      <x:c r="K20" s="74" t="str"/>
    </x:row>
    <x:row r="21">
      <x:c r="A21" s="80" t="str"/>
      <x:c r="B21" s="85" t="str"/>
      <x:c r="C21" s="81" t="str"/>
      <x:c r="D21" s="81" t="str"/>
      <x:c r="E21" s="81" t="str"/>
      <x:c r="F21" s="81" t="str"/>
      <x:c r="G21" s="81" t="str"/>
      <x:c r="H21" s="95" t="str"/>
      <x:c r="I21" s="96" t="str">
        <x:f>IF(H21="","",H21*0.16)</x:f>
      </x:c>
      <x:c r="J21" s="96" t="str">
        <x:f>IF(H21="","",H21+I21)</x:f>
      </x:c>
      <x:c r="K21" s="74" t="str"/>
    </x:row>
    <x:row r="22">
      <x:c r="A22" s="80" t="str"/>
      <x:c r="B22" s="85" t="str"/>
      <x:c r="C22" s="81" t="str"/>
      <x:c r="D22" s="81" t="str"/>
      <x:c r="E22" s="81" t="str"/>
      <x:c r="F22" s="81" t="str"/>
      <x:c r="G22" s="81" t="str"/>
      <x:c r="H22" s="95" t="str"/>
      <x:c r="I22" s="96" t="str">
        <x:f>IF(H22="","",H22*0.16)</x:f>
      </x:c>
      <x:c r="J22" s="96" t="str">
        <x:f>IF(H22="","",H22+I22)</x:f>
      </x:c>
      <x:c r="K22" s="74" t="str"/>
    </x:row>
    <x:row r="23">
      <x:c r="A23" s="80" t="str"/>
      <x:c r="B23" s="85" t="str"/>
      <x:c r="C23" s="81" t="str"/>
      <x:c r="D23" s="81" t="str"/>
      <x:c r="E23" s="81" t="str"/>
      <x:c r="F23" s="81" t="str"/>
      <x:c r="G23" s="81" t="str"/>
      <x:c r="H23" s="95" t="str"/>
      <x:c r="I23" s="96" t="str">
        <x:f>IF(H23="","",H23*0.16)</x:f>
      </x:c>
      <x:c r="J23" s="96" t="str">
        <x:f>IF(H23="","",H23+I23)</x:f>
      </x:c>
      <x:c r="K23" s="74" t="str"/>
    </x:row>
    <x:row r="24">
      <x:c r="A24" s="80" t="str"/>
      <x:c r="B24" s="85" t="str"/>
      <x:c r="C24" s="81" t="str"/>
      <x:c r="D24" s="81" t="str"/>
      <x:c r="E24" s="81" t="str"/>
      <x:c r="F24" s="81" t="str"/>
      <x:c r="G24" s="81" t="str"/>
      <x:c r="H24" s="95" t="str"/>
      <x:c r="I24" s="96" t="str">
        <x:f>IF(H24="","",H24*0.16)</x:f>
      </x:c>
      <x:c r="J24" s="96" t="str">
        <x:f>IF(H24="","",H24+I24)</x:f>
      </x:c>
      <x:c r="K24" s="74" t="str"/>
    </x:row>
    <x:row r="25">
      <x:c r="A25" s="80" t="str"/>
      <x:c r="B25" s="85" t="str"/>
      <x:c r="C25" s="81" t="str"/>
      <x:c r="D25" s="81" t="str"/>
      <x:c r="E25" s="81" t="str"/>
      <x:c r="F25" s="81" t="str"/>
      <x:c r="G25" s="81" t="str"/>
      <x:c r="H25" s="95" t="str"/>
      <x:c r="I25" s="96" t="str">
        <x:f>IF(H25="","",H25*0.16)</x:f>
      </x:c>
      <x:c r="J25" s="96" t="str">
        <x:f>IF(H25="","",H25+I25)</x:f>
      </x:c>
      <x:c r="K25" s="74" t="str"/>
    </x:row>
    <x:row r="26">
      <x:c r="A26" s="80" t="str"/>
      <x:c r="B26" s="85" t="str"/>
      <x:c r="C26" s="81" t="str"/>
      <x:c r="D26" s="81" t="str"/>
      <x:c r="E26" s="81" t="str"/>
      <x:c r="F26" s="81" t="str"/>
      <x:c r="G26" s="81" t="str"/>
      <x:c r="H26" s="95" t="str"/>
      <x:c r="I26" s="96" t="str">
        <x:f>IF(H26="","",H26*0.16)</x:f>
      </x:c>
      <x:c r="J26" s="96" t="str">
        <x:f>IF(H26="","",H26+I26)</x:f>
      </x:c>
      <x:c r="K26" s="74" t="str"/>
    </x:row>
    <x:row r="27">
      <x:c r="A27" s="80" t="str"/>
      <x:c r="B27" s="85" t="str"/>
      <x:c r="C27" s="81" t="str"/>
      <x:c r="D27" s="81" t="str"/>
      <x:c r="E27" s="81" t="str"/>
      <x:c r="F27" s="81" t="str"/>
      <x:c r="G27" s="81" t="str"/>
      <x:c r="H27" s="95" t="str"/>
      <x:c r="I27" s="96" t="str">
        <x:f>IF(H27="","",H27*0.16)</x:f>
      </x:c>
      <x:c r="J27" s="96" t="str">
        <x:f>IF(H27="","",H27+I27)</x:f>
      </x:c>
      <x:c r="K27" s="74" t="str"/>
    </x:row>
    <x:row r="28">
      <x:c r="A28" s="80" t="str"/>
      <x:c r="B28" s="85" t="str"/>
      <x:c r="C28" s="81" t="str"/>
      <x:c r="D28" s="81" t="str"/>
      <x:c r="E28" s="81" t="str"/>
      <x:c r="F28" s="81" t="str"/>
      <x:c r="G28" s="81" t="str"/>
      <x:c r="H28" s="95" t="str"/>
      <x:c r="I28" s="96" t="str">
        <x:f>IF(H28="","",H28*0.16)</x:f>
      </x:c>
      <x:c r="J28" s="96" t="str">
        <x:f>IF(H28="","",H28+I28)</x:f>
      </x:c>
      <x:c r="K28" s="74" t="str"/>
    </x:row>
    <x:row r="29">
      <x:c r="A29" s="80" t="str"/>
      <x:c r="B29" s="85" t="str"/>
      <x:c r="C29" s="81" t="str"/>
      <x:c r="D29" s="81" t="str"/>
      <x:c r="E29" s="81" t="str"/>
      <x:c r="F29" s="81" t="str"/>
      <x:c r="G29" s="81" t="str"/>
      <x:c r="H29" s="95" t="str"/>
      <x:c r="I29" s="96" t="str">
        <x:f>IF(H29="","",H29*0.16)</x:f>
      </x:c>
      <x:c r="J29" s="96" t="str">
        <x:f>IF(H29="","",H29+I29)</x:f>
      </x:c>
      <x:c r="K29" s="74" t="str"/>
    </x:row>
    <x:row r="30">
      <x:c r="A30" s="80" t="str"/>
      <x:c r="B30" s="85" t="str"/>
      <x:c r="C30" s="81" t="str"/>
      <x:c r="D30" s="81" t="str"/>
      <x:c r="E30" s="81" t="str"/>
      <x:c r="F30" s="81" t="str"/>
      <x:c r="G30" s="81" t="str"/>
      <x:c r="H30" s="95" t="str"/>
      <x:c r="I30" s="96" t="str">
        <x:f>IF(H30="","",H30*0.16)</x:f>
      </x:c>
      <x:c r="J30" s="96" t="str">
        <x:f>IF(H30="","",H30+I30)</x:f>
      </x:c>
      <x:c r="K30" s="74" t="str"/>
    </x:row>
    <x:row r="31">
      <x:c r="A31" s="80" t="str"/>
      <x:c r="B31" s="85" t="str"/>
      <x:c r="C31" s="81" t="str"/>
      <x:c r="D31" s="81" t="str"/>
      <x:c r="E31" s="81" t="str"/>
      <x:c r="F31" s="81" t="str"/>
      <x:c r="G31" s="81" t="str"/>
      <x:c r="H31" s="95" t="str"/>
      <x:c r="I31" s="96" t="str">
        <x:f>IF(H31="","",H31*0.16)</x:f>
      </x:c>
      <x:c r="J31" s="96" t="str">
        <x:f>IF(H31="","",H31+I31)</x:f>
      </x:c>
      <x:c r="K31" s="74" t="str"/>
    </x:row>
    <x:row r="32">
      <x:c r="A32" s="80" t="str"/>
      <x:c r="B32" s="85" t="str"/>
      <x:c r="C32" s="81" t="str"/>
      <x:c r="D32" s="81" t="str"/>
      <x:c r="E32" s="81" t="str"/>
      <x:c r="F32" s="81" t="str"/>
      <x:c r="G32" s="81" t="str"/>
      <x:c r="H32" s="95" t="str"/>
      <x:c r="I32" s="96" t="str">
        <x:f>IF(H32="","",H32*0.16)</x:f>
      </x:c>
      <x:c r="J32" s="96" t="str">
        <x:f>IF(H32="","",H32+I32)</x:f>
      </x:c>
      <x:c r="K32" s="74" t="str"/>
    </x:row>
    <x:row r="33">
      <x:c r="A33" s="80" t="str"/>
      <x:c r="B33" s="85" t="str"/>
      <x:c r="C33" s="81" t="str"/>
      <x:c r="D33" s="81" t="str"/>
      <x:c r="E33" s="81" t="str"/>
      <x:c r="F33" s="81" t="str"/>
      <x:c r="G33" s="81" t="str"/>
      <x:c r="H33" s="95" t="str"/>
      <x:c r="I33" s="96" t="str">
        <x:f>IF(H33="","",H33*0.16)</x:f>
      </x:c>
      <x:c r="J33" s="96" t="str">
        <x:f>IF(H33="","",H33+I33)</x:f>
      </x:c>
      <x:c r="K33" s="74" t="str"/>
    </x:row>
    <x:row r="34">
      <x:c r="A34" s="80" t="str"/>
      <x:c r="B34" s="85" t="str"/>
      <x:c r="C34" s="81" t="str"/>
      <x:c r="D34" s="81" t="str"/>
      <x:c r="E34" s="81" t="str"/>
      <x:c r="F34" s="81" t="str"/>
      <x:c r="G34" s="81" t="str"/>
      <x:c r="H34" s="95" t="str"/>
      <x:c r="I34" s="96" t="str">
        <x:f>IF(H34="","",H34*0.16)</x:f>
      </x:c>
      <x:c r="J34" s="96" t="str">
        <x:f>IF(H34="","",H34+I34)</x:f>
      </x:c>
      <x:c r="K34" s="74" t="str"/>
    </x:row>
    <x:row r="35">
      <x:c r="A35" s="80" t="str"/>
      <x:c r="B35" s="85" t="str"/>
      <x:c r="C35" s="81" t="str"/>
      <x:c r="D35" s="81" t="str"/>
      <x:c r="E35" s="81" t="str"/>
      <x:c r="F35" s="81" t="str"/>
      <x:c r="G35" s="81" t="str"/>
      <x:c r="H35" s="95" t="str"/>
      <x:c r="I35" s="96" t="str">
        <x:f>IF(H35="","",H35*0.16)</x:f>
      </x:c>
      <x:c r="J35" s="96" t="str">
        <x:f>IF(H35="","",H35+I35)</x:f>
      </x:c>
      <x:c r="K35" s="74" t="str"/>
    </x:row>
    <x:row r="36">
      <x:c r="A36" s="80" t="str"/>
      <x:c r="B36" s="85" t="str"/>
      <x:c r="C36" s="81" t="str"/>
      <x:c r="D36" s="81" t="str"/>
      <x:c r="E36" s="81" t="str"/>
      <x:c r="F36" s="81" t="str"/>
      <x:c r="G36" s="81" t="str"/>
      <x:c r="H36" s="95" t="str"/>
      <x:c r="I36" s="96" t="str">
        <x:f>IF(H36="","",H36*0.16)</x:f>
      </x:c>
      <x:c r="J36" s="96" t="str">
        <x:f>IF(H36="","",H36+I36)</x:f>
      </x:c>
      <x:c r="K36" s="74" t="str"/>
    </x:row>
    <x:row r="37">
      <x:c r="A37" s="80" t="str"/>
      <x:c r="B37" s="85" t="str"/>
      <x:c r="C37" s="81" t="str"/>
      <x:c r="D37" s="81" t="str"/>
      <x:c r="E37" s="81" t="str"/>
      <x:c r="F37" s="81" t="str"/>
      <x:c r="G37" s="81" t="str"/>
      <x:c r="H37" s="95" t="str"/>
      <x:c r="I37" s="96" t="str">
        <x:f>IF(H37="","",H37*0.16)</x:f>
      </x:c>
      <x:c r="J37" s="96" t="str">
        <x:f>IF(H37="","",H37+I37)</x:f>
      </x:c>
      <x:c r="K37" s="74" t="str"/>
    </x:row>
    <x:row r="38">
      <x:c r="A38" s="80" t="str"/>
      <x:c r="B38" s="85" t="str"/>
      <x:c r="C38" s="81" t="str"/>
      <x:c r="D38" s="81" t="str"/>
      <x:c r="E38" s="81" t="str"/>
      <x:c r="F38" s="81" t="str"/>
      <x:c r="G38" s="81" t="str"/>
      <x:c r="H38" s="95" t="str"/>
      <x:c r="I38" s="96" t="str">
        <x:f>IF(H38="","",H38*0.16)</x:f>
      </x:c>
      <x:c r="J38" s="96" t="str">
        <x:f>IF(H38="","",H38+I38)</x:f>
      </x:c>
      <x:c r="K38" s="74" t="str"/>
    </x:row>
    <x:row r="39">
      <x:c r="A39" s="80" t="str"/>
      <x:c r="B39" s="85" t="str"/>
      <x:c r="C39" s="81" t="str"/>
      <x:c r="D39" s="81" t="str"/>
      <x:c r="E39" s="81" t="str"/>
      <x:c r="F39" s="81" t="str"/>
      <x:c r="G39" s="81" t="str"/>
      <x:c r="H39" s="95" t="str"/>
      <x:c r="I39" s="96" t="str">
        <x:f>IF(H39="","",H39*0.16)</x:f>
      </x:c>
      <x:c r="J39" s="96" t="str">
        <x:f>IF(H39="","",H39+I39)</x:f>
      </x:c>
      <x:c r="K39" s="74" t="str"/>
    </x:row>
    <x:row r="40">
      <x:c r="A40" s="80" t="str"/>
      <x:c r="B40" s="85" t="str"/>
      <x:c r="C40" s="81" t="str"/>
      <x:c r="D40" s="81" t="str"/>
      <x:c r="E40" s="81" t="str"/>
      <x:c r="F40" s="81" t="str"/>
      <x:c r="G40" s="81" t="str"/>
      <x:c r="H40" s="95" t="str"/>
      <x:c r="I40" s="96" t="str">
        <x:f>IF(H40="","",H40*0.16)</x:f>
      </x:c>
      <x:c r="J40" s="96" t="str">
        <x:f>IF(H40="","",H40+I40)</x:f>
      </x:c>
      <x:c r="K40" s="74" t="str"/>
    </x:row>
    <x:row r="41">
      <x:c r="A41" s="80" t="str"/>
      <x:c r="B41" s="85" t="str"/>
      <x:c r="C41" s="81" t="str"/>
      <x:c r="D41" s="81" t="str"/>
      <x:c r="E41" s="81" t="str"/>
      <x:c r="F41" s="81" t="str"/>
      <x:c r="G41" s="81" t="str"/>
      <x:c r="H41" s="95" t="str"/>
      <x:c r="I41" s="96" t="str">
        <x:f>IF(H41="","",H41*0.16)</x:f>
      </x:c>
      <x:c r="J41" s="96" t="str">
        <x:f>IF(H41="","",H41+I41)</x:f>
      </x:c>
      <x:c r="K41" s="74" t="str"/>
    </x:row>
    <x:row r="42">
      <x:c r="A42" s="80" t="str"/>
      <x:c r="B42" s="85" t="str"/>
      <x:c r="C42" s="81" t="str"/>
      <x:c r="D42" s="81" t="str"/>
      <x:c r="E42" s="81" t="str"/>
      <x:c r="F42" s="81" t="str"/>
      <x:c r="G42" s="81" t="str"/>
      <x:c r="H42" s="95" t="str"/>
      <x:c r="I42" s="96" t="str">
        <x:f>IF(H42="","",H42*0.16)</x:f>
      </x:c>
      <x:c r="J42" s="96" t="str">
        <x:f>IF(H42="","",H42+I42)</x:f>
      </x:c>
      <x:c r="K42" s="74" t="str"/>
    </x:row>
    <x:row r="43">
      <x:c r="A43" s="80" t="str"/>
      <x:c r="B43" s="85" t="str"/>
      <x:c r="C43" s="81" t="str"/>
      <x:c r="D43" s="81" t="str"/>
      <x:c r="E43" s="81" t="str"/>
      <x:c r="F43" s="81" t="str"/>
      <x:c r="G43" s="81" t="str"/>
      <x:c r="H43" s="95" t="str"/>
      <x:c r="I43" s="96" t="str">
        <x:f>IF(H43="","",H43*0.16)</x:f>
      </x:c>
      <x:c r="J43" s="96" t="str">
        <x:f>IF(H43="","",H43+I43)</x:f>
      </x:c>
      <x:c r="K43" s="74" t="str"/>
    </x:row>
    <x:row r="44">
      <x:c r="A44" s="80" t="str"/>
      <x:c r="B44" s="85" t="str"/>
      <x:c r="C44" s="81" t="str"/>
      <x:c r="D44" s="81" t="str"/>
      <x:c r="E44" s="81" t="str"/>
      <x:c r="F44" s="81" t="str"/>
      <x:c r="G44" s="81" t="str"/>
      <x:c r="H44" s="95" t="str"/>
      <x:c r="I44" s="96" t="str">
        <x:f>IF(H44="","",H44*0.16)</x:f>
      </x:c>
      <x:c r="J44" s="96" t="str">
        <x:f>IF(H44="","",H44+I44)</x:f>
      </x:c>
      <x:c r="K44" s="74" t="str"/>
    </x:row>
    <x:row r="45">
      <x:c r="A45" s="80" t="str"/>
      <x:c r="B45" s="85" t="str"/>
      <x:c r="C45" s="81" t="str"/>
      <x:c r="D45" s="81" t="str"/>
      <x:c r="E45" s="81" t="str"/>
      <x:c r="F45" s="81" t="str"/>
      <x:c r="G45" s="81" t="str"/>
      <x:c r="H45" s="95" t="str"/>
      <x:c r="I45" s="96" t="str">
        <x:f>IF(H45="","",H45*0.16)</x:f>
      </x:c>
      <x:c r="J45" s="96" t="str">
        <x:f>IF(H45="","",H45+I45)</x:f>
      </x:c>
      <x:c r="K45" s="74" t="str"/>
    </x:row>
    <x:row r="46">
      <x:c r="A46" s="80" t="str"/>
      <x:c r="B46" s="85" t="str"/>
      <x:c r="C46" s="81" t="str"/>
      <x:c r="D46" s="81" t="str"/>
      <x:c r="E46" s="81" t="str"/>
      <x:c r="F46" s="81" t="str"/>
      <x:c r="G46" s="81" t="str"/>
      <x:c r="H46" s="95" t="str"/>
      <x:c r="I46" s="96" t="str">
        <x:f>IF(H46="","",H46*0.16)</x:f>
      </x:c>
      <x:c r="J46" s="96" t="str">
        <x:f>IF(H46="","",H46+I46)</x:f>
      </x:c>
      <x:c r="K46" s="74" t="str"/>
    </x:row>
    <x:row r="47">
      <x:c r="A47" s="80" t="str"/>
      <x:c r="B47" s="85" t="str"/>
      <x:c r="C47" s="81" t="str"/>
      <x:c r="D47" s="81" t="str"/>
      <x:c r="E47" s="81" t="str"/>
      <x:c r="F47" s="81" t="str"/>
      <x:c r="G47" s="81" t="str"/>
      <x:c r="H47" s="95" t="str"/>
      <x:c r="I47" s="96" t="str">
        <x:f>IF(H47="","",H47*0.16)</x:f>
      </x:c>
      <x:c r="J47" s="96" t="str">
        <x:f>IF(H47="","",H47+I47)</x:f>
      </x:c>
      <x:c r="K47" s="74" t="str"/>
    </x:row>
    <x:row r="48">
      <x:c r="A48" s="80" t="str"/>
      <x:c r="B48" s="85" t="str"/>
      <x:c r="C48" s="81" t="str"/>
      <x:c r="D48" s="81" t="str"/>
      <x:c r="E48" s="81" t="str"/>
      <x:c r="F48" s="81" t="str"/>
      <x:c r="G48" s="81" t="str"/>
      <x:c r="H48" s="95" t="str"/>
      <x:c r="I48" s="96" t="str">
        <x:f>IF(H48="","",H48*0.16)</x:f>
      </x:c>
      <x:c r="J48" s="96" t="str">
        <x:f>IF(H48="","",H48+I48)</x:f>
      </x:c>
      <x:c r="K48" s="74" t="str"/>
    </x:row>
    <x:row r="49">
      <x:c r="A49" s="80" t="str"/>
      <x:c r="B49" s="85" t="str"/>
      <x:c r="C49" s="81" t="str"/>
      <x:c r="D49" s="81" t="str"/>
      <x:c r="E49" s="81" t="str"/>
      <x:c r="F49" s="81" t="str"/>
      <x:c r="G49" s="81" t="str"/>
      <x:c r="H49" s="95" t="str"/>
      <x:c r="I49" s="96" t="str">
        <x:f>IF(H49="","",H49*0.16)</x:f>
      </x:c>
      <x:c r="J49" s="96" t="str">
        <x:f>IF(H49="","",H49+I49)</x:f>
      </x:c>
      <x:c r="K49" s="74" t="str"/>
    </x:row>
    <x:row r="50">
      <x:c r="A50" s="80" t="str"/>
      <x:c r="B50" s="85" t="str"/>
      <x:c r="C50" s="81" t="str"/>
      <x:c r="D50" s="81" t="str"/>
      <x:c r="E50" s="81" t="str"/>
      <x:c r="F50" s="81" t="str"/>
      <x:c r="G50" s="81" t="str"/>
      <x:c r="H50" s="95" t="str"/>
      <x:c r="I50" s="96" t="str">
        <x:f>IF(H50="","",H50*0.16)</x:f>
      </x:c>
      <x:c r="J50" s="96" t="str">
        <x:f>IF(H50="","",H50+I50)</x:f>
      </x:c>
      <x:c r="K50" s="74" t="str"/>
    </x:row>
    <x:row r="51">
      <x:c r="A51" s="80" t="str"/>
      <x:c r="B51" s="85" t="str"/>
      <x:c r="C51" s="81" t="str"/>
      <x:c r="D51" s="81" t="str"/>
      <x:c r="E51" s="81" t="str"/>
      <x:c r="F51" s="81" t="str"/>
      <x:c r="G51" s="81" t="str"/>
      <x:c r="H51" s="95" t="str"/>
      <x:c r="I51" s="96" t="str">
        <x:f>IF(H51="","",H51*0.16)</x:f>
      </x:c>
      <x:c r="J51" s="96" t="str">
        <x:f>IF(H51="","",H51+I51)</x:f>
      </x:c>
      <x:c r="K51" s="74" t="str"/>
    </x:row>
    <x:row r="52">
      <x:c r="A52" s="80" t="str"/>
      <x:c r="B52" s="85" t="str"/>
      <x:c r="C52" s="81" t="str"/>
      <x:c r="D52" s="81" t="str"/>
      <x:c r="E52" s="81" t="str"/>
      <x:c r="F52" s="81" t="str"/>
      <x:c r="G52" s="81" t="str"/>
      <x:c r="H52" s="95" t="str"/>
      <x:c r="I52" s="96" t="str">
        <x:f>IF(H52="","",H52*0.16)</x:f>
      </x:c>
      <x:c r="J52" s="96" t="str">
        <x:f>IF(H52="","",H52+I52)</x:f>
      </x:c>
      <x:c r="K52" s="74" t="str"/>
    </x:row>
    <x:row r="53">
      <x:c r="A53" s="80" t="str"/>
      <x:c r="B53" s="85" t="str"/>
      <x:c r="C53" s="81" t="str"/>
      <x:c r="D53" s="81" t="str"/>
      <x:c r="E53" s="81" t="str"/>
      <x:c r="F53" s="81" t="str"/>
      <x:c r="G53" s="81" t="str"/>
      <x:c r="H53" s="95" t="str"/>
      <x:c r="I53" s="96" t="str">
        <x:f>IF(H53="","",H53*0.16)</x:f>
      </x:c>
      <x:c r="J53" s="96" t="str">
        <x:f>IF(H53="","",H53+I53)</x:f>
      </x:c>
      <x:c r="K53" s="74" t="str"/>
    </x:row>
    <x:row r="54">
      <x:c r="A54" s="80" t="str"/>
      <x:c r="B54" s="85" t="str"/>
      <x:c r="C54" s="81" t="str"/>
      <x:c r="D54" s="81" t="str"/>
      <x:c r="E54" s="81" t="str"/>
      <x:c r="F54" s="81" t="str"/>
      <x:c r="G54" s="81" t="str"/>
      <x:c r="H54" s="95" t="str"/>
      <x:c r="I54" s="96" t="str">
        <x:f>IF(H54="","",H54*0.16)</x:f>
      </x:c>
      <x:c r="J54" s="96" t="str">
        <x:f>IF(H54="","",H54+I54)</x:f>
      </x:c>
      <x:c r="K54" s="74" t="str"/>
    </x:row>
    <x:row r="55">
      <x:c r="A55" s="80" t="str"/>
      <x:c r="B55" s="85" t="str"/>
      <x:c r="C55" s="81" t="str"/>
      <x:c r="D55" s="81" t="str"/>
      <x:c r="E55" s="81" t="str"/>
      <x:c r="F55" s="81" t="str"/>
      <x:c r="G55" s="81" t="str"/>
      <x:c r="H55" s="95" t="str"/>
      <x:c r="I55" s="96" t="str">
        <x:f>IF(H55="","",H55*0.16)</x:f>
      </x:c>
      <x:c r="J55" s="96" t="str">
        <x:f>IF(H55="","",H55+I55)</x:f>
      </x:c>
      <x:c r="K55" s="74" t="str"/>
    </x:row>
    <x:row r="56">
      <x:c r="A56" s="80" t="str"/>
      <x:c r="B56" s="85" t="str"/>
      <x:c r="C56" s="81" t="str"/>
      <x:c r="D56" s="81" t="str"/>
      <x:c r="E56" s="81" t="str"/>
      <x:c r="F56" s="81" t="str"/>
      <x:c r="G56" s="81" t="str"/>
      <x:c r="H56" s="95" t="str"/>
      <x:c r="I56" s="96" t="str">
        <x:f>IF(H56="","",H56*0.16)</x:f>
      </x:c>
      <x:c r="J56" s="96" t="str">
        <x:f>IF(H56="","",H56+I56)</x:f>
      </x:c>
      <x:c r="K56" s="74" t="str"/>
    </x:row>
    <x:row r="57">
      <x:c r="A57" s="80" t="str"/>
      <x:c r="B57" s="85" t="str"/>
      <x:c r="C57" s="81" t="str"/>
      <x:c r="D57" s="81" t="str"/>
      <x:c r="E57" s="81" t="str"/>
      <x:c r="F57" s="81" t="str"/>
      <x:c r="G57" s="81" t="str"/>
      <x:c r="H57" s="95" t="str"/>
      <x:c r="I57" s="96" t="str">
        <x:f>IF(H57="","",H57*0.16)</x:f>
      </x:c>
      <x:c r="J57" s="96" t="str">
        <x:f>IF(H57="","",H57+I57)</x:f>
      </x:c>
      <x:c r="K57" s="74" t="str"/>
    </x:row>
    <x:row r="58">
      <x:c r="A58" s="80" t="str"/>
      <x:c r="B58" s="85" t="str"/>
      <x:c r="C58" s="81" t="str"/>
      <x:c r="D58" s="81" t="str"/>
      <x:c r="E58" s="81" t="str"/>
      <x:c r="F58" s="81" t="str"/>
      <x:c r="G58" s="81" t="str"/>
      <x:c r="H58" s="95" t="str"/>
      <x:c r="I58" s="96" t="str">
        <x:f>IF(H58="","",H58*0.16)</x:f>
      </x:c>
      <x:c r="J58" s="96" t="str">
        <x:f>IF(H58="","",H58+I58)</x:f>
      </x:c>
      <x:c r="K58" s="74" t="str"/>
    </x:row>
    <x:row r="59">
      <x:c r="A59" s="80" t="str"/>
      <x:c r="B59" s="85" t="str"/>
      <x:c r="C59" s="81" t="str"/>
      <x:c r="D59" s="81" t="str"/>
      <x:c r="E59" s="81" t="str"/>
      <x:c r="F59" s="81" t="str"/>
      <x:c r="G59" s="81" t="str"/>
      <x:c r="H59" s="95" t="str"/>
      <x:c r="I59" s="96" t="str">
        <x:f>IF(H59="","",H59*0.16)</x:f>
      </x:c>
      <x:c r="J59" s="96" t="str">
        <x:f>IF(H59="","",H59+I59)</x:f>
      </x:c>
      <x:c r="K59" s="74" t="str"/>
    </x:row>
    <x:row r="60">
      <x:c r="A60" s="80" t="str"/>
      <x:c r="B60" s="85" t="str"/>
      <x:c r="C60" s="81" t="str"/>
      <x:c r="D60" s="81" t="str"/>
      <x:c r="E60" s="81" t="str"/>
      <x:c r="F60" s="81" t="str"/>
      <x:c r="G60" s="81" t="str"/>
      <x:c r="H60" s="95" t="str"/>
      <x:c r="I60" s="96" t="str">
        <x:f>IF(H60="","",H60*0.16)</x:f>
      </x:c>
      <x:c r="J60" s="96" t="str">
        <x:f>IF(H60="","",H60+I60)</x:f>
      </x:c>
      <x:c r="K60" s="74" t="str"/>
    </x:row>
    <x:row r="61">
      <x:c r="A61" s="80" t="str"/>
      <x:c r="B61" s="85" t="str"/>
      <x:c r="C61" s="81" t="str"/>
      <x:c r="D61" s="81" t="str"/>
      <x:c r="E61" s="81" t="str"/>
      <x:c r="F61" s="81" t="str"/>
      <x:c r="G61" s="81" t="str"/>
      <x:c r="H61" s="95" t="str"/>
      <x:c r="I61" s="96" t="str">
        <x:f>IF(H61="","",H61*0.16)</x:f>
      </x:c>
      <x:c r="J61" s="96" t="str">
        <x:f>IF(H61="","",H61+I61)</x:f>
      </x:c>
      <x:c r="K61" s="74" t="str"/>
    </x:row>
    <x:row r="62">
      <x:c r="A62" s="80" t="str"/>
      <x:c r="B62" s="85" t="str"/>
      <x:c r="C62" s="81" t="str"/>
      <x:c r="D62" s="81" t="str"/>
      <x:c r="E62" s="81" t="str"/>
      <x:c r="F62" s="81" t="str"/>
      <x:c r="G62" s="81" t="str"/>
      <x:c r="H62" s="95" t="str"/>
      <x:c r="I62" s="96" t="str">
        <x:f>IF(H62="","",H62*0.16)</x:f>
      </x:c>
      <x:c r="J62" s="96" t="str">
        <x:f>IF(H62="","",H62+I62)</x:f>
      </x:c>
      <x:c r="K62" s="74" t="str"/>
    </x:row>
    <x:row r="63">
      <x:c r="A63" s="80" t="str"/>
      <x:c r="B63" s="85" t="str"/>
      <x:c r="C63" s="81" t="str"/>
      <x:c r="D63" s="81" t="str"/>
      <x:c r="E63" s="81" t="str"/>
      <x:c r="F63" s="81" t="str"/>
      <x:c r="G63" s="81" t="str"/>
      <x:c r="H63" s="95" t="str"/>
      <x:c r="I63" s="96" t="str">
        <x:f>IF(H63="","",H63*0.16)</x:f>
      </x:c>
      <x:c r="J63" s="96" t="str">
        <x:f>IF(H63="","",H63+I63)</x:f>
      </x:c>
      <x:c r="K63" s="74" t="str"/>
    </x:row>
    <x:row r="64">
      <x:c r="A64" s="80" t="str"/>
      <x:c r="B64" s="85" t="str"/>
      <x:c r="C64" s="81" t="str"/>
      <x:c r="D64" s="81" t="str"/>
      <x:c r="E64" s="81" t="str"/>
      <x:c r="F64" s="81" t="str"/>
      <x:c r="G64" s="81" t="str"/>
      <x:c r="H64" s="95" t="str"/>
      <x:c r="I64" s="96" t="str">
        <x:f>IF(H64="","",H64*0.16)</x:f>
      </x:c>
      <x:c r="J64" s="96" t="str">
        <x:f>IF(H64="","",H64+I64)</x:f>
      </x:c>
      <x:c r="K64" s="74" t="str"/>
    </x:row>
    <x:row r="65">
      <x:c r="A65" s="80" t="str"/>
      <x:c r="B65" s="85" t="str"/>
      <x:c r="C65" s="81" t="str"/>
      <x:c r="D65" s="81" t="str"/>
      <x:c r="E65" s="81" t="str"/>
      <x:c r="F65" s="81" t="str"/>
      <x:c r="G65" s="81" t="str"/>
      <x:c r="H65" s="95" t="str"/>
      <x:c r="I65" s="96" t="str">
        <x:f>IF(H65="","",H65*0.16)</x:f>
      </x:c>
      <x:c r="J65" s="96" t="str">
        <x:f>IF(H65="","",H65+I65)</x:f>
      </x:c>
      <x:c r="K65" s="74" t="str"/>
    </x:row>
    <x:row r="66">
      <x:c r="A66" s="80" t="str"/>
      <x:c r="B66" s="85" t="str"/>
      <x:c r="C66" s="81" t="str"/>
      <x:c r="D66" s="81" t="str"/>
      <x:c r="E66" s="81" t="str"/>
      <x:c r="F66" s="81" t="str"/>
      <x:c r="G66" s="81" t="str"/>
      <x:c r="H66" s="95" t="str"/>
      <x:c r="I66" s="96" t="str">
        <x:f>IF(H66="","",H66*0.16)</x:f>
      </x:c>
      <x:c r="J66" s="96" t="str">
        <x:f>IF(H66="","",H66+I66)</x:f>
      </x:c>
      <x:c r="K66" s="74" t="str"/>
    </x:row>
    <x:row r="67">
      <x:c r="A67" s="80" t="str"/>
      <x:c r="B67" s="85" t="str"/>
      <x:c r="C67" s="81" t="str"/>
      <x:c r="D67" s="81" t="str"/>
      <x:c r="E67" s="81" t="str"/>
      <x:c r="F67" s="81" t="str"/>
      <x:c r="G67" s="81" t="str"/>
      <x:c r="H67" s="95" t="str"/>
      <x:c r="I67" s="96" t="str">
        <x:f>IF(H67="","",H67*0.16)</x:f>
      </x:c>
      <x:c r="J67" s="96" t="str">
        <x:f>IF(H67="","",H67+I67)</x:f>
      </x:c>
      <x:c r="K67" s="74" t="str"/>
    </x:row>
    <x:row r="68">
      <x:c r="A68" s="80" t="str"/>
      <x:c r="B68" s="85" t="str"/>
      <x:c r="C68" s="81" t="str"/>
      <x:c r="D68" s="81" t="str"/>
      <x:c r="E68" s="81" t="str"/>
      <x:c r="F68" s="81" t="str"/>
      <x:c r="G68" s="81" t="str"/>
      <x:c r="H68" s="95" t="str"/>
      <x:c r="I68" s="96" t="str">
        <x:f>IF(H68="","",H68*0.16)</x:f>
      </x:c>
      <x:c r="J68" s="96" t="str">
        <x:f>IF(H68="","",H68+I68)</x:f>
      </x:c>
      <x:c r="K68" s="74" t="str"/>
    </x:row>
    <x:row r="69">
      <x:c r="A69" s="80" t="str"/>
      <x:c r="B69" s="85" t="str"/>
      <x:c r="C69" s="81" t="str"/>
      <x:c r="D69" s="81" t="str"/>
      <x:c r="E69" s="81" t="str"/>
      <x:c r="F69" s="81" t="str"/>
      <x:c r="G69" s="81" t="str"/>
      <x:c r="H69" s="95" t="str"/>
      <x:c r="I69" s="96" t="str">
        <x:f>IF(H69="","",H69*0.16)</x:f>
      </x:c>
      <x:c r="J69" s="96" t="str">
        <x:f>IF(H69="","",H69+I69)</x:f>
      </x:c>
      <x:c r="K69" s="74" t="str"/>
    </x:row>
    <x:row r="70">
      <x:c r="A70" s="80" t="str"/>
      <x:c r="B70" s="85" t="str"/>
      <x:c r="C70" s="81" t="str"/>
      <x:c r="D70" s="81" t="str"/>
      <x:c r="E70" s="81" t="str"/>
      <x:c r="F70" s="81" t="str"/>
      <x:c r="G70" s="81" t="str"/>
      <x:c r="H70" s="95" t="str"/>
      <x:c r="I70" s="96" t="str">
        <x:f>IF(H70="","",H70*0.16)</x:f>
      </x:c>
      <x:c r="J70" s="96" t="str">
        <x:f>IF(H70="","",H70+I70)</x:f>
      </x:c>
      <x:c r="K70" s="74" t="str"/>
    </x:row>
    <x:row r="71">
      <x:c r="A71" s="80" t="str"/>
      <x:c r="B71" s="85" t="str"/>
      <x:c r="C71" s="81" t="str"/>
      <x:c r="D71" s="81" t="str"/>
      <x:c r="E71" s="81" t="str"/>
      <x:c r="F71" s="81" t="str"/>
      <x:c r="G71" s="81" t="str"/>
      <x:c r="H71" s="95" t="str"/>
      <x:c r="I71" s="96" t="str">
        <x:f>IF(H71="","",H71*0.16)</x:f>
      </x:c>
      <x:c r="J71" s="96" t="str">
        <x:f>IF(H71="","",H71+I71)</x:f>
      </x:c>
      <x:c r="K71" s="74" t="str"/>
    </x:row>
    <x:row r="72">
      <x:c r="A72" s="80" t="str"/>
      <x:c r="B72" s="85" t="str"/>
      <x:c r="C72" s="81" t="str"/>
      <x:c r="D72" s="81" t="str"/>
      <x:c r="E72" s="81" t="str"/>
      <x:c r="F72" s="81" t="str"/>
      <x:c r="G72" s="81" t="str"/>
      <x:c r="H72" s="95" t="str"/>
      <x:c r="I72" s="96" t="str">
        <x:f>IF(H72="","",H72*0.16)</x:f>
      </x:c>
      <x:c r="J72" s="96" t="str">
        <x:f>IF(H72="","",H72+I72)</x:f>
      </x:c>
      <x:c r="K72" s="74" t="str"/>
    </x:row>
    <x:row r="73">
      <x:c r="A73" s="80" t="str"/>
      <x:c r="B73" s="85" t="str"/>
      <x:c r="C73" s="81" t="str"/>
      <x:c r="D73" s="81" t="str"/>
      <x:c r="E73" s="81" t="str"/>
      <x:c r="F73" s="81" t="str"/>
      <x:c r="G73" s="81" t="str"/>
      <x:c r="H73" s="95" t="str"/>
      <x:c r="I73" s="96" t="str">
        <x:f>IF(H73="","",H73*0.16)</x:f>
      </x:c>
      <x:c r="J73" s="96" t="str">
        <x:f>IF(H73="","",H73+I73)</x:f>
      </x:c>
      <x:c r="K73" s="74" t="str"/>
    </x:row>
    <x:row r="74">
      <x:c r="A74" s="80" t="str"/>
      <x:c r="B74" s="85" t="str"/>
      <x:c r="C74" s="81" t="str"/>
      <x:c r="D74" s="81" t="str"/>
      <x:c r="E74" s="81" t="str"/>
      <x:c r="F74" s="81" t="str"/>
      <x:c r="G74" s="81" t="str"/>
      <x:c r="H74" s="95" t="str"/>
      <x:c r="I74" s="96" t="str">
        <x:f>IF(H74="","",H74*0.16)</x:f>
      </x:c>
      <x:c r="J74" s="96" t="str">
        <x:f>IF(H74="","",H74+I74)</x:f>
      </x:c>
      <x:c r="K74" s="74" t="str"/>
    </x:row>
    <x:row r="75">
      <x:c r="A75" s="80" t="str"/>
      <x:c r="B75" s="85" t="str"/>
      <x:c r="C75" s="81" t="str"/>
      <x:c r="D75" s="81" t="str"/>
      <x:c r="E75" s="81" t="str"/>
      <x:c r="F75" s="81" t="str"/>
      <x:c r="G75" s="81" t="str"/>
      <x:c r="H75" s="95" t="str"/>
      <x:c r="I75" s="96" t="str">
        <x:f>IF(H75="","",H75*0.16)</x:f>
      </x:c>
      <x:c r="J75" s="96" t="str">
        <x:f>IF(H75="","",H75+I75)</x:f>
      </x:c>
      <x:c r="K75" s="74" t="str"/>
    </x:row>
    <x:row r="76">
      <x:c r="A76" s="80" t="str"/>
      <x:c r="B76" s="85" t="str"/>
      <x:c r="C76" s="81" t="str"/>
      <x:c r="D76" s="81" t="str"/>
      <x:c r="E76" s="81" t="str"/>
      <x:c r="F76" s="81" t="str"/>
      <x:c r="G76" s="81" t="str"/>
      <x:c r="H76" s="95" t="str"/>
      <x:c r="I76" s="96" t="str">
        <x:f>IF(H76="","",H76*0.16)</x:f>
      </x:c>
      <x:c r="J76" s="96" t="str">
        <x:f>IF(H76="","",H76+I76)</x:f>
      </x:c>
      <x:c r="K76" s="74" t="str"/>
    </x:row>
    <x:row r="77">
      <x:c r="A77" s="80" t="str"/>
      <x:c r="B77" s="85" t="str"/>
      <x:c r="C77" s="81" t="str"/>
      <x:c r="D77" s="81" t="str"/>
      <x:c r="E77" s="81" t="str"/>
      <x:c r="F77" s="81" t="str"/>
      <x:c r="G77" s="81" t="str"/>
      <x:c r="H77" s="95" t="str"/>
      <x:c r="I77" s="96" t="str">
        <x:f>IF(H77="","",H77*0.16)</x:f>
      </x:c>
      <x:c r="J77" s="96" t="str">
        <x:f>IF(H77="","",H77+I77)</x:f>
      </x:c>
      <x:c r="K77" s="74" t="str"/>
    </x:row>
    <x:row r="78">
      <x:c r="A78" s="80" t="str"/>
      <x:c r="B78" s="85" t="str"/>
      <x:c r="C78" s="81" t="str"/>
      <x:c r="D78" s="81" t="str"/>
      <x:c r="E78" s="81" t="str"/>
      <x:c r="F78" s="81" t="str"/>
      <x:c r="G78" s="81" t="str"/>
      <x:c r="H78" s="95" t="str"/>
      <x:c r="I78" s="96" t="str">
        <x:f>IF(H78="","",H78*0.16)</x:f>
      </x:c>
      <x:c r="J78" s="96" t="str">
        <x:f>IF(H78="","",H78+I78)</x:f>
      </x:c>
      <x:c r="K78" s="74" t="str"/>
    </x:row>
    <x:row r="79">
      <x:c r="A79" s="80" t="str"/>
      <x:c r="B79" s="85" t="str"/>
      <x:c r="C79" s="81" t="str"/>
      <x:c r="D79" s="81" t="str"/>
      <x:c r="E79" s="81" t="str"/>
      <x:c r="F79" s="81" t="str"/>
      <x:c r="G79" s="81" t="str"/>
      <x:c r="H79" s="95" t="str"/>
      <x:c r="I79" s="96" t="str">
        <x:f>IF(H79="","",H79*0.16)</x:f>
      </x:c>
      <x:c r="J79" s="96" t="str">
        <x:f>IF(H79="","",H79+I79)</x:f>
      </x:c>
      <x:c r="K79" s="74" t="str"/>
    </x:row>
    <x:row r="80">
      <x:c r="A80" s="80" t="str"/>
      <x:c r="B80" s="85" t="str"/>
      <x:c r="C80" s="81" t="str"/>
      <x:c r="D80" s="81" t="str"/>
      <x:c r="E80" s="81" t="str"/>
      <x:c r="F80" s="81" t="str"/>
      <x:c r="G80" s="81" t="str"/>
      <x:c r="H80" s="95" t="str"/>
      <x:c r="I80" s="96" t="str">
        <x:f>IF(H80="","",H80*0.16)</x:f>
      </x:c>
      <x:c r="J80" s="96" t="str">
        <x:f>IF(H80="","",H80+I80)</x:f>
      </x:c>
      <x:c r="K80" s="74" t="str"/>
    </x:row>
    <x:row r="81">
      <x:c r="A81" s="80" t="str"/>
      <x:c r="B81" s="85" t="str"/>
      <x:c r="C81" s="81" t="str"/>
      <x:c r="D81" s="81" t="str"/>
      <x:c r="E81" s="81" t="str"/>
      <x:c r="F81" s="81" t="str"/>
      <x:c r="G81" s="81" t="str"/>
      <x:c r="H81" s="95" t="str"/>
      <x:c r="I81" s="96" t="str">
        <x:f>IF(H81="","",H81*0.16)</x:f>
      </x:c>
      <x:c r="J81" s="96" t="str">
        <x:f>IF(H81="","",H81+I81)</x:f>
      </x:c>
      <x:c r="K81" s="74" t="str"/>
    </x:row>
    <x:row r="82">
      <x:c r="A82" s="80" t="str"/>
      <x:c r="B82" s="85" t="str"/>
      <x:c r="C82" s="81" t="str"/>
      <x:c r="D82" s="81" t="str"/>
      <x:c r="E82" s="81" t="str"/>
      <x:c r="F82" s="81" t="str"/>
      <x:c r="G82" s="81" t="str"/>
      <x:c r="H82" s="95" t="str"/>
      <x:c r="I82" s="96" t="str">
        <x:f>IF(H82="","",H82*0.16)</x:f>
      </x:c>
      <x:c r="J82" s="96" t="str">
        <x:f>IF(H82="","",H82+I82)</x:f>
      </x:c>
      <x:c r="K82" s="74" t="str"/>
    </x:row>
    <x:row r="83">
      <x:c r="A83" s="80" t="str"/>
      <x:c r="B83" s="85" t="str"/>
      <x:c r="C83" s="81" t="str"/>
      <x:c r="D83" s="81" t="str"/>
      <x:c r="E83" s="81" t="str"/>
      <x:c r="F83" s="81" t="str"/>
      <x:c r="G83" s="81" t="str"/>
      <x:c r="H83" s="95" t="str"/>
      <x:c r="I83" s="96" t="str">
        <x:f>IF(H83="","",H83*0.16)</x:f>
      </x:c>
      <x:c r="J83" s="96" t="str">
        <x:f>IF(H83="","",H83+I83)</x:f>
      </x:c>
      <x:c r="K83" s="74" t="str"/>
    </x:row>
    <x:row r="84">
      <x:c r="A84" s="80" t="str"/>
      <x:c r="B84" s="85" t="str"/>
      <x:c r="C84" s="81" t="str"/>
      <x:c r="D84" s="81" t="str"/>
      <x:c r="E84" s="81" t="str"/>
      <x:c r="F84" s="81" t="str"/>
      <x:c r="G84" s="81" t="str"/>
      <x:c r="H84" s="95" t="str"/>
      <x:c r="I84" s="96" t="str">
        <x:f>IF(H84="","",H84*0.16)</x:f>
      </x:c>
      <x:c r="J84" s="96" t="str">
        <x:f>IF(H84="","",H84+I84)</x:f>
      </x:c>
      <x:c r="K84" s="74" t="str"/>
    </x:row>
    <x:row r="85">
      <x:c r="A85" s="80" t="str"/>
      <x:c r="B85" s="85" t="str"/>
      <x:c r="C85" s="81" t="str"/>
      <x:c r="D85" s="81" t="str"/>
      <x:c r="E85" s="81" t="str"/>
      <x:c r="F85" s="81" t="str"/>
      <x:c r="G85" s="81" t="str"/>
      <x:c r="H85" s="95" t="str"/>
      <x:c r="I85" s="96" t="str">
        <x:f>IF(H85="","",H85*0.16)</x:f>
      </x:c>
      <x:c r="J85" s="96" t="str">
        <x:f>IF(H85="","",H85+I85)</x:f>
      </x:c>
      <x:c r="K85" s="74" t="str"/>
    </x:row>
    <x:row r="86">
      <x:c r="A86" s="80" t="str"/>
      <x:c r="B86" s="85" t="str"/>
      <x:c r="C86" s="81" t="str"/>
      <x:c r="D86" s="81" t="str"/>
      <x:c r="E86" s="81" t="str"/>
      <x:c r="F86" s="81" t="str"/>
      <x:c r="G86" s="81" t="str"/>
      <x:c r="H86" s="95" t="str"/>
      <x:c r="I86" s="96" t="str">
        <x:f>IF(H86="","",H86*0.16)</x:f>
      </x:c>
      <x:c r="J86" s="96" t="str">
        <x:f>IF(H86="","",H86+I86)</x:f>
      </x:c>
      <x:c r="K86" s="74" t="str"/>
    </x:row>
    <x:row r="87">
      <x:c r="A87" s="80" t="str"/>
      <x:c r="B87" s="85" t="str"/>
      <x:c r="C87" s="81" t="str"/>
      <x:c r="D87" s="81" t="str"/>
      <x:c r="E87" s="81" t="str"/>
      <x:c r="F87" s="81" t="str"/>
      <x:c r="G87" s="81" t="str"/>
      <x:c r="H87" s="95" t="str"/>
      <x:c r="I87" s="96" t="str">
        <x:f>IF(H87="","",H87*0.16)</x:f>
      </x:c>
      <x:c r="J87" s="96" t="str">
        <x:f>IF(H87="","",H87+I87)</x:f>
      </x:c>
      <x:c r="K87" s="74" t="str"/>
    </x:row>
    <x:row r="88">
      <x:c r="A88" s="80" t="str"/>
      <x:c r="B88" s="85" t="str"/>
      <x:c r="C88" s="81" t="str"/>
      <x:c r="D88" s="81" t="str"/>
      <x:c r="E88" s="81" t="str"/>
      <x:c r="F88" s="81" t="str"/>
      <x:c r="G88" s="81" t="str"/>
      <x:c r="H88" s="95" t="str"/>
      <x:c r="I88" s="96" t="str">
        <x:f>IF(H88="","",H88*0.16)</x:f>
      </x:c>
      <x:c r="J88" s="96" t="str">
        <x:f>IF(H88="","",H88+I88)</x:f>
      </x:c>
      <x:c r="K88" s="74" t="str"/>
    </x:row>
    <x:row r="89">
      <x:c r="A89" s="80" t="str"/>
      <x:c r="B89" s="85" t="str"/>
      <x:c r="C89" s="81" t="str"/>
      <x:c r="D89" s="81" t="str"/>
      <x:c r="E89" s="81" t="str"/>
      <x:c r="F89" s="81" t="str"/>
      <x:c r="G89" s="81" t="str"/>
      <x:c r="H89" s="95" t="str"/>
      <x:c r="I89" s="96" t="str">
        <x:f>IF(H89="","",H89*0.16)</x:f>
      </x:c>
      <x:c r="J89" s="96" t="str">
        <x:f>IF(H89="","",H89+I89)</x:f>
      </x:c>
      <x:c r="K89" s="74" t="str"/>
    </x:row>
    <x:row r="90">
      <x:c r="A90" s="80" t="str"/>
      <x:c r="B90" s="85" t="str"/>
      <x:c r="C90" s="81" t="str"/>
      <x:c r="D90" s="81" t="str"/>
      <x:c r="E90" s="81" t="str"/>
      <x:c r="F90" s="81" t="str"/>
      <x:c r="G90" s="81" t="str"/>
      <x:c r="H90" s="95" t="str"/>
      <x:c r="I90" s="96" t="str">
        <x:f>IF(H90="","",H90*0.16)</x:f>
      </x:c>
      <x:c r="J90" s="96" t="str">
        <x:f>IF(H90="","",H90+I90)</x:f>
      </x:c>
      <x:c r="K90" s="74" t="str"/>
    </x:row>
    <x:row r="91">
      <x:c r="A91" s="80" t="str"/>
      <x:c r="B91" s="85" t="str"/>
      <x:c r="C91" s="81" t="str"/>
      <x:c r="D91" s="81" t="str"/>
      <x:c r="E91" s="81" t="str"/>
      <x:c r="F91" s="81" t="str"/>
      <x:c r="G91" s="81" t="str"/>
      <x:c r="H91" s="95" t="str"/>
      <x:c r="I91" s="96" t="str">
        <x:f>IF(H91="","",H91*0.16)</x:f>
      </x:c>
      <x:c r="J91" s="96" t="str">
        <x:f>IF(H91="","",H91+I91)</x:f>
      </x:c>
      <x:c r="K91" s="74" t="str"/>
    </x:row>
    <x:row r="92">
      <x:c r="A92" s="80" t="str"/>
      <x:c r="B92" s="85" t="str"/>
      <x:c r="C92" s="81" t="str"/>
      <x:c r="D92" s="81" t="str"/>
      <x:c r="E92" s="81" t="str"/>
      <x:c r="F92" s="81" t="str"/>
      <x:c r="G92" s="81" t="str"/>
      <x:c r="H92" s="95" t="str"/>
      <x:c r="I92" s="96" t="str">
        <x:f>IF(H92="","",H92*0.16)</x:f>
      </x:c>
      <x:c r="J92" s="96" t="str">
        <x:f>IF(H92="","",H92+I92)</x:f>
      </x:c>
      <x:c r="K92" s="74" t="str"/>
    </x:row>
    <x:row r="93">
      <x:c r="A93" s="80" t="str"/>
      <x:c r="B93" s="85" t="str"/>
      <x:c r="C93" s="81" t="str"/>
      <x:c r="D93" s="81" t="str"/>
      <x:c r="E93" s="81" t="str"/>
      <x:c r="F93" s="81" t="str"/>
      <x:c r="G93" s="81" t="str"/>
      <x:c r="H93" s="95" t="str"/>
      <x:c r="I93" s="96" t="str">
        <x:f>IF(H93="","",H93*0.16)</x:f>
      </x:c>
      <x:c r="J93" s="96" t="str">
        <x:f>IF(H93="","",H93+I93)</x:f>
      </x:c>
      <x:c r="K93" s="74" t="str"/>
    </x:row>
    <x:row r="94">
      <x:c r="A94" s="80" t="str"/>
      <x:c r="B94" s="85" t="str"/>
      <x:c r="C94" s="81" t="str"/>
      <x:c r="D94" s="81" t="str"/>
      <x:c r="E94" s="81" t="str"/>
      <x:c r="F94" s="81" t="str"/>
      <x:c r="G94" s="81" t="str"/>
      <x:c r="H94" s="95" t="str"/>
      <x:c r="I94" s="96" t="str">
        <x:f>IF(H94="","",H94*0.16)</x:f>
      </x:c>
      <x:c r="J94" s="96" t="str">
        <x:f>IF(H94="","",H94+I94)</x:f>
      </x:c>
      <x:c r="K94" s="74" t="str"/>
    </x:row>
    <x:row r="95">
      <x:c r="A95" s="80" t="str"/>
      <x:c r="B95" s="85" t="str"/>
      <x:c r="C95" s="81" t="str"/>
      <x:c r="D95" s="81" t="str"/>
      <x:c r="E95" s="81" t="str"/>
      <x:c r="F95" s="81" t="str"/>
      <x:c r="G95" s="81" t="str"/>
      <x:c r="H95" s="95" t="str"/>
      <x:c r="I95" s="96" t="str">
        <x:f>IF(H95="","",H95*0.16)</x:f>
      </x:c>
      <x:c r="J95" s="96" t="str">
        <x:f>IF(H95="","",H95+I95)</x:f>
      </x:c>
      <x:c r="K95" s="74" t="str"/>
    </x:row>
    <x:row r="96">
      <x:c r="A96" s="80" t="str"/>
      <x:c r="B96" s="85" t="str"/>
      <x:c r="C96" s="81" t="str"/>
      <x:c r="D96" s="81" t="str"/>
      <x:c r="E96" s="81" t="str"/>
      <x:c r="F96" s="81" t="str"/>
      <x:c r="G96" s="81" t="str"/>
      <x:c r="H96" s="95" t="str"/>
      <x:c r="I96" s="96" t="str">
        <x:f>IF(H96="","",H96*0.16)</x:f>
      </x:c>
      <x:c r="J96" s="96" t="str">
        <x:f>IF(H96="","",H96+I96)</x:f>
      </x:c>
      <x:c r="K96" s="74" t="str"/>
    </x:row>
    <x:row r="97">
      <x:c r="A97" s="80" t="str"/>
      <x:c r="B97" s="85" t="str"/>
      <x:c r="C97" s="81" t="str"/>
      <x:c r="D97" s="81" t="str"/>
      <x:c r="E97" s="81" t="str"/>
      <x:c r="F97" s="81" t="str"/>
      <x:c r="G97" s="81" t="str"/>
      <x:c r="H97" s="95" t="str"/>
      <x:c r="I97" s="96" t="str">
        <x:f>IF(H97="","",H97*0.16)</x:f>
      </x:c>
      <x:c r="J97" s="96" t="str">
        <x:f>IF(H97="","",H97+I97)</x:f>
      </x:c>
      <x:c r="K97" s="74" t="str"/>
    </x:row>
    <x:row r="98">
      <x:c r="A98" s="80" t="str"/>
      <x:c r="B98" s="85" t="str"/>
      <x:c r="C98" s="81" t="str"/>
      <x:c r="D98" s="81" t="str"/>
      <x:c r="E98" s="81" t="str"/>
      <x:c r="F98" s="81" t="str"/>
      <x:c r="G98" s="81" t="str"/>
      <x:c r="H98" s="95" t="str"/>
      <x:c r="I98" s="96" t="str">
        <x:f>IF(H98="","",H98*0.16)</x:f>
      </x:c>
      <x:c r="J98" s="96" t="str">
        <x:f>IF(H98="","",H98+I98)</x:f>
      </x:c>
      <x:c r="K98" s="74" t="str"/>
    </x:row>
    <x:row r="99">
      <x:c r="A99" s="80" t="str"/>
      <x:c r="B99" s="85" t="str"/>
      <x:c r="C99" s="81" t="str"/>
      <x:c r="D99" s="81" t="str"/>
      <x:c r="E99" s="81" t="str"/>
      <x:c r="F99" s="81" t="str"/>
      <x:c r="G99" s="81" t="str"/>
      <x:c r="H99" s="95" t="str"/>
      <x:c r="I99" s="96" t="str">
        <x:f>IF(H99="","",H99*0.16)</x:f>
      </x:c>
      <x:c r="J99" s="96" t="str">
        <x:f>IF(H99="","",H99+I99)</x:f>
      </x:c>
      <x:c r="K99" s="74" t="str"/>
    </x:row>
    <x:row r="100">
      <x:c r="A100" s="80" t="str"/>
      <x:c r="B100" s="85" t="str"/>
      <x:c r="C100" s="81" t="str"/>
      <x:c r="D100" s="81" t="str"/>
      <x:c r="E100" s="81" t="str"/>
      <x:c r="F100" s="81" t="str"/>
      <x:c r="G100" s="81" t="str"/>
      <x:c r="H100" s="95" t="str"/>
      <x:c r="I100" s="96" t="str">
        <x:f>IF(H100="","",H100*0.16)</x:f>
      </x:c>
      <x:c r="J100" s="96" t="str">
        <x:f>IF(H100="","",H100+I100)</x:f>
      </x:c>
      <x:c r="K100" s="74" t="str"/>
    </x:row>
    <x:row r="101">
      <x:c r="A101" s="80" t="str"/>
      <x:c r="B101" s="85" t="str"/>
      <x:c r="C101" s="81" t="str"/>
      <x:c r="D101" s="81" t="str"/>
      <x:c r="E101" s="81" t="str"/>
      <x:c r="F101" s="81" t="str"/>
      <x:c r="G101" s="81" t="str"/>
      <x:c r="H101" s="95" t="str"/>
      <x:c r="I101" s="96" t="str">
        <x:f>IF(H101="","",H101*0.16)</x:f>
      </x:c>
      <x:c r="J101" s="96" t="str">
        <x:f>IF(H101="","",H101+I101)</x:f>
      </x:c>
      <x:c r="K101" s="74" t="str"/>
    </x:row>
    <x:row r="102">
      <x:c r="A102" s="80" t="str"/>
      <x:c r="B102" s="85" t="str"/>
      <x:c r="C102" s="81" t="str"/>
      <x:c r="D102" s="81" t="str"/>
      <x:c r="E102" s="81" t="str"/>
      <x:c r="F102" s="81" t="str"/>
      <x:c r="G102" s="81" t="str"/>
      <x:c r="H102" s="95" t="str"/>
      <x:c r="I102" s="96" t="str">
        <x:f>IF(H102="","",H102*0.16)</x:f>
      </x:c>
      <x:c r="J102" s="96" t="str">
        <x:f>IF(H102="","",H102+I102)</x:f>
      </x:c>
      <x:c r="K102" s="74" t="str"/>
    </x:row>
    <x:row r="103">
      <x:c r="A103" s="80" t="str"/>
      <x:c r="B103" s="85" t="str"/>
      <x:c r="C103" s="81" t="str"/>
      <x:c r="D103" s="81" t="str"/>
      <x:c r="E103" s="81" t="str"/>
      <x:c r="F103" s="81" t="str"/>
      <x:c r="G103" s="81" t="str"/>
      <x:c r="H103" s="95" t="str"/>
      <x:c r="I103" s="96" t="str">
        <x:f>IF(H103="","",H103*0.16)</x:f>
      </x:c>
      <x:c r="J103" s="96" t="str">
        <x:f>IF(H103="","",H103+I103)</x:f>
      </x:c>
      <x:c r="K103" s="74" t="str"/>
    </x:row>
    <x:row r="104">
      <x:c r="A104" s="82" t="str"/>
      <x:c r="B104" s="86" t="str"/>
      <x:c r="C104" s="83" t="str"/>
      <x:c r="D104" s="83" t="str"/>
      <x:c r="E104" s="83" t="str"/>
      <x:c r="F104" s="83" t="str"/>
      <x:c r="G104" s="83" t="str"/>
      <x:c r="H104" s="97" t="str"/>
      <x:c r="I104" s="98" t="str">
        <x:f>IF(H104="","",H104*0.16)</x:f>
      </x:c>
      <x:c r="J104" s="98" t="str">
        <x:f>IF(H104="","",H104+I104)</x:f>
      </x:c>
      <x:c r="K104" s="77" t="str"/>
    </x:row>
  </x:sheetData>
  <x:mergeCells>
    <x:mergeCell ref="A1:K1"/>
    <x:mergeCell ref="A2:K2"/>
  </x:mergeCells>
  <x:dataValidations count="2">
    <x:dataValidation type="list" sqref="D5:D104">
      <x:formula1>"Preventivo,Correctivo,Verificación,Llantas,Frenos,Otro"</x:formula1>
    </x:dataValidation>
    <x:dataValidation type="list" sqref="K5:K104">
      <x:formula1>"Programado,En proceso,Liberado,Detenido"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4" hidden="0" customWidth="1"/>
  </x:cols>
  <x:sheetData>
    <x:row r="1" ht="34" customHeight="1">
      <x:c r="A1" s="3" t="str">
        <x:v>FARO PORTUARIO  |  CONTROL DE COSTOS</x:v>
      </x:c>
      <x:c r="B1" s="3"/>
      <x:c r="C1" s="3"/>
      <x:c r="D1" s="3"/>
      <x:c r="E1" s="3"/>
      <x:c r="F1" s="3"/>
    </x:row>
    <x:row r="2" ht="28" customHeight="1">
      <x:c r="A2" s="7" t="str">
        <x:v>Resumen calculado del historial capturado.</x:v>
      </x:c>
      <x:c r="B2" s="7"/>
      <x:c r="C2" s="7"/>
      <x:c r="D2" s="7"/>
      <x:c r="E2" s="7"/>
      <x:c r="F2" s="7"/>
    </x:row>
    <x:row r="4">
      <x:c r="A4" s="49" t="str">
        <x:v>Indicador</x:v>
      </x:c>
      <x:c r="B4" s="49" t="str">
        <x:v>Resultado</x:v>
      </x:c>
    </x:row>
    <x:row r="5">
      <x:c r="A5" s="69" t="str">
        <x:v>Órdenes registradas</x:v>
      </x:c>
      <x:c r="B5" s="71" t="n">
        <x:f>COUNTIF('Mantenimientos'!A5:A104,"?*")</x:f>
        <x:v>0</x:v>
      </x:c>
    </x:row>
    <x:row r="6">
      <x:c r="A6" s="72" t="str">
        <x:v>Costo sin IVA</x:v>
      </x:c>
      <x:c r="B6" s="99" t="n">
        <x:f>SUM('Mantenimientos'!H5:H104)</x:f>
        <x:v>0</x:v>
      </x:c>
    </x:row>
    <x:row r="7">
      <x:c r="A7" s="72" t="str">
        <x:v>IVA acreditable capturado</x:v>
      </x:c>
      <x:c r="B7" s="99" t="n">
        <x:f>SUM('Mantenimientos'!I5:I104)</x:f>
        <x:v>0</x:v>
      </x:c>
    </x:row>
    <x:row r="8">
      <x:c r="A8" s="72" t="str">
        <x:v>Costo total</x:v>
      </x:c>
      <x:c r="B8" s="99" t="n">
        <x:f>SUM('Mantenimientos'!J5:J104)</x:f>
        <x:v>0</x:v>
      </x:c>
    </x:row>
    <x:row r="9">
      <x:c r="A9" s="75" t="str">
        <x:v>Unidades detenidas</x:v>
      </x:c>
      <x:c r="B9" s="77" t="n">
        <x:f>COUNTIF('Mantenimientos'!K5:K104,"Detenido")</x:f>
        <x:v>0</x:v>
      </x:c>
    </x:row>
  </x:sheetData>
  <x:mergeCells>
    <x:mergeCell ref="A1:F1"/>
    <x:mergeCell ref="A2:F2"/>
  </x:mergeCells>
  <x:pageMargins left="0.7" right="0.7" top="0.75" bottom="0.75" header="0.3" footer="0.3"/>
</x:worksheet>
</file>